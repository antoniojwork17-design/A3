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I:\Dept\TEF\Shared\RegistroNegocio\TEF6\Ingenieria Industrial\TEF6\Practicantes\2025_EGE1TL\"/>
    </mc:Choice>
  </mc:AlternateContent>
  <xr:revisionPtr revIDLastSave="0" documentId="13_ncr:1_{96FBA0F3-4343-4C27-9D5C-A6CF86CFEED0}" xr6:coauthVersionLast="47" xr6:coauthVersionMax="47" xr10:uidLastSave="{00000000-0000-0000-0000-000000000000}"/>
  <bookViews>
    <workbookView xWindow="-108" yWindow="-108" windowWidth="23256" windowHeight="12456" xr2:uid="{218BD6FD-7213-4A57-9959-B95C6B9CB25D}"/>
  </bookViews>
  <sheets>
    <sheet name="MINUTOS DE PARO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6" i="1" l="1"/>
  <c r="L56" i="1"/>
  <c r="X8" i="1" s="1"/>
  <c r="K56" i="1"/>
  <c r="W8" i="1" s="1"/>
  <c r="J52" i="1"/>
  <c r="J56" i="1" s="1"/>
  <c r="V8" i="1" s="1"/>
  <c r="N26" i="1"/>
  <c r="M26" i="1"/>
  <c r="L26" i="1"/>
  <c r="K26" i="1"/>
  <c r="J26" i="1"/>
  <c r="I26" i="1"/>
  <c r="H26" i="1"/>
  <c r="G26" i="1"/>
  <c r="F26" i="1"/>
  <c r="O25" i="1"/>
  <c r="E24" i="1"/>
  <c r="E26" i="1" s="1"/>
  <c r="D24" i="1"/>
  <c r="D26" i="1" s="1"/>
  <c r="C24" i="1"/>
  <c r="O24" i="1" s="1"/>
  <c r="D23" i="1"/>
  <c r="C23" i="1"/>
  <c r="C26" i="1" s="1"/>
  <c r="AK22" i="1"/>
  <c r="AJ22" i="1"/>
  <c r="AI22" i="1"/>
  <c r="AH22" i="1"/>
  <c r="AG22" i="1"/>
  <c r="AF22" i="1"/>
  <c r="AE22" i="1"/>
  <c r="AD22" i="1"/>
  <c r="AC22" i="1"/>
  <c r="AG21" i="1"/>
  <c r="AL21" i="1" s="1"/>
  <c r="AN21" i="1" s="1"/>
  <c r="AL20" i="1"/>
  <c r="AN20" i="1" s="1"/>
  <c r="N20" i="1"/>
  <c r="AL19" i="1"/>
  <c r="AN19" i="1" s="1"/>
  <c r="M19" i="1"/>
  <c r="L19" i="1"/>
  <c r="K19" i="1"/>
  <c r="I19" i="1"/>
  <c r="H19" i="1"/>
  <c r="G19" i="1"/>
  <c r="F19" i="1"/>
  <c r="E19" i="1"/>
  <c r="D19" i="1"/>
  <c r="C19" i="1"/>
  <c r="M18" i="1"/>
  <c r="L18" i="1"/>
  <c r="K18" i="1"/>
  <c r="J18" i="1"/>
  <c r="I18" i="1"/>
  <c r="H18" i="1"/>
  <c r="G18" i="1"/>
  <c r="F18" i="1"/>
  <c r="E18" i="1"/>
  <c r="D18" i="1"/>
  <c r="C18" i="1"/>
  <c r="O18" i="1" s="1"/>
  <c r="AK16" i="1"/>
  <c r="AJ16" i="1"/>
  <c r="AI16" i="1"/>
  <c r="AG16" i="1"/>
  <c r="AF16" i="1"/>
  <c r="AE16" i="1"/>
  <c r="AD16" i="1"/>
  <c r="AC16" i="1"/>
  <c r="L16" i="1"/>
  <c r="L20" i="1" s="1"/>
  <c r="I16" i="1"/>
  <c r="I20" i="1" s="1"/>
  <c r="H16" i="1"/>
  <c r="H20" i="1" s="1"/>
  <c r="F16" i="1"/>
  <c r="F20" i="1" s="1"/>
  <c r="E16" i="1"/>
  <c r="E20" i="1" s="1"/>
  <c r="D16" i="1"/>
  <c r="D20" i="1" s="1"/>
  <c r="C16" i="1"/>
  <c r="C20" i="1" s="1"/>
  <c r="AM15" i="1"/>
  <c r="AL15" i="1"/>
  <c r="AH14" i="1"/>
  <c r="AM14" i="1" s="1"/>
  <c r="AM13" i="1"/>
  <c r="AL13" i="1"/>
  <c r="AM12" i="1"/>
  <c r="AL12" i="1"/>
  <c r="L12" i="1"/>
  <c r="X7" i="1" s="1"/>
  <c r="X9" i="1" s="1"/>
  <c r="I12" i="1"/>
  <c r="U7" i="1" s="1"/>
  <c r="U9" i="1" s="1"/>
  <c r="H12" i="1"/>
  <c r="T7" i="1" s="1"/>
  <c r="T9" i="1" s="1"/>
  <c r="AM11" i="1"/>
  <c r="AL11" i="1"/>
  <c r="K11" i="1"/>
  <c r="K12" i="1" s="1"/>
  <c r="W7" i="1" s="1"/>
  <c r="W9" i="1" s="1"/>
  <c r="J11" i="1"/>
  <c r="J16" i="1" s="1"/>
  <c r="G11" i="1"/>
  <c r="G12" i="1" s="1"/>
  <c r="S7" i="1" s="1"/>
  <c r="S9" i="1" s="1"/>
  <c r="AM10" i="1"/>
  <c r="J10" i="1"/>
  <c r="J19" i="1" s="1"/>
  <c r="O19" i="1" s="1"/>
  <c r="AM9" i="1"/>
  <c r="M9" i="1"/>
  <c r="K9" i="1"/>
  <c r="J9" i="1"/>
  <c r="I9" i="1"/>
  <c r="H9" i="1"/>
  <c r="E9" i="1"/>
  <c r="D9" i="1"/>
  <c r="C9" i="1"/>
  <c r="AM8" i="1"/>
  <c r="AL8" i="1"/>
  <c r="Y8" i="1"/>
  <c r="U8" i="1"/>
  <c r="T8" i="1"/>
  <c r="S8" i="1"/>
  <c r="M8" i="1"/>
  <c r="M16" i="1" s="1"/>
  <c r="M20" i="1" s="1"/>
  <c r="AM7" i="1"/>
  <c r="AL7" i="1"/>
  <c r="AM6" i="1"/>
  <c r="AL6" i="1"/>
  <c r="AH5" i="1"/>
  <c r="AM5" i="1" s="1"/>
  <c r="AM4" i="1"/>
  <c r="AL4" i="1"/>
  <c r="AL16" i="1" l="1"/>
  <c r="AM16" i="1"/>
  <c r="J20" i="1"/>
  <c r="G16" i="1"/>
  <c r="G20" i="1" s="1"/>
  <c r="O23" i="1"/>
  <c r="O26" i="1" s="1"/>
  <c r="K16" i="1"/>
  <c r="K20" i="1" s="1"/>
  <c r="J12" i="1"/>
  <c r="V7" i="1" s="1"/>
  <c r="V9" i="1" s="1"/>
  <c r="M12" i="1"/>
  <c r="Y7" i="1" s="1"/>
  <c r="Y9" i="1" s="1"/>
  <c r="AH16" i="1"/>
  <c r="AL14" i="1"/>
  <c r="AL5" i="1"/>
  <c r="O16" i="1" l="1"/>
  <c r="O20" i="1" s="1"/>
</calcChain>
</file>

<file path=xl/sharedStrings.xml><?xml version="1.0" encoding="utf-8"?>
<sst xmlns="http://schemas.openxmlformats.org/spreadsheetml/2006/main" count="146" uniqueCount="58">
  <si>
    <t>No se pide material a tiempo</t>
  </si>
  <si>
    <t>Mes/Línea</t>
  </si>
  <si>
    <t>L-162</t>
  </si>
  <si>
    <t>L-183</t>
  </si>
  <si>
    <t>L-184</t>
  </si>
  <si>
    <t>L-610</t>
  </si>
  <si>
    <t>L-672</t>
  </si>
  <si>
    <t>L-721</t>
  </si>
  <si>
    <t>L-722</t>
  </si>
  <si>
    <t>L-723</t>
  </si>
  <si>
    <t>L-737</t>
  </si>
  <si>
    <t>Total</t>
  </si>
  <si>
    <t>ENE</t>
  </si>
  <si>
    <t>FEB</t>
  </si>
  <si>
    <t>Ago</t>
  </si>
  <si>
    <t>Sep</t>
  </si>
  <si>
    <t>Oct</t>
  </si>
  <si>
    <t>Nov</t>
  </si>
  <si>
    <t>Dic</t>
  </si>
  <si>
    <t>Ene</t>
  </si>
  <si>
    <t>Feb</t>
  </si>
  <si>
    <t>MAR</t>
  </si>
  <si>
    <t>Modo de falla</t>
  </si>
  <si>
    <t>ABRIL 2025</t>
  </si>
  <si>
    <t>MAYO 2025</t>
  </si>
  <si>
    <t>JUNIO 2025</t>
  </si>
  <si>
    <t>JULIO 2025</t>
  </si>
  <si>
    <t>AGOSTO 2025</t>
  </si>
  <si>
    <t>SEPTIEMBRE 2025</t>
  </si>
  <si>
    <t>OCTUBRE 2025</t>
  </si>
  <si>
    <t>NOVIEMBRE 2025</t>
  </si>
  <si>
    <t>DICIEMBRE 2025</t>
  </si>
  <si>
    <t>ENERO 2026</t>
  </si>
  <si>
    <t>FEBRERO</t>
  </si>
  <si>
    <t>WSA</t>
  </si>
  <si>
    <t>ABR</t>
  </si>
  <si>
    <t>WSM</t>
  </si>
  <si>
    <t>MAY</t>
  </si>
  <si>
    <t>AMD no surte material a tiempo</t>
  </si>
  <si>
    <t>JUN</t>
  </si>
  <si>
    <t>Desabasto de material - Logistica interna</t>
  </si>
  <si>
    <t>JUL</t>
  </si>
  <si>
    <t>Falta de material no se pidio a tiempo por materialista</t>
  </si>
  <si>
    <t>AGO</t>
  </si>
  <si>
    <t>TOTAL</t>
  </si>
  <si>
    <t>SEP</t>
  </si>
  <si>
    <t>OCT</t>
  </si>
  <si>
    <t>NOV</t>
  </si>
  <si>
    <t>MARZO</t>
  </si>
  <si>
    <t>DIC</t>
  </si>
  <si>
    <t>min/mes</t>
  </si>
  <si>
    <t>Min. Promedio 2025</t>
  </si>
  <si>
    <t>Materials are not requested on time</t>
  </si>
  <si>
    <t>The warehouse is not delivering supplies on time</t>
  </si>
  <si>
    <t>Línea</t>
  </si>
  <si>
    <t>Shortage of supplies - Internal logistics</t>
  </si>
  <si>
    <t>L-708</t>
  </si>
  <si>
    <t>Falta de material (de ruta 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</si>
</sst>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</fonts>
  <fills count="12">
    <fill>
      <patternFill patternType="none"/>
    </fill>
    <fill>
      <patternFill patternType="gray125"/>
    </fill>
    <fill>
      <patternFill patternType="solid">
        <fgColor rgb="FFDAE9F8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theme="4"/>
        <bgColor theme="4"/>
      </patternFill>
    </fill>
    <fill>
      <patternFill patternType="solid">
        <fgColor theme="3" tint="0.89999084444715716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1" xfId="0" applyBorder="1"/>
    <xf numFmtId="0" fontId="0" fillId="3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1" xfId="0" applyFont="1" applyBorder="1"/>
    <xf numFmtId="0" fontId="3" fillId="0" borderId="5" xfId="0" applyFont="1" applyBorder="1"/>
    <xf numFmtId="17" fontId="3" fillId="0" borderId="5" xfId="0" applyNumberFormat="1" applyFont="1" applyBorder="1"/>
    <xf numFmtId="0" fontId="3" fillId="7" borderId="6" xfId="0" applyFont="1" applyFill="1" applyBorder="1"/>
    <xf numFmtId="0" fontId="3" fillId="0" borderId="0" xfId="0" applyFont="1"/>
    <xf numFmtId="0" fontId="3" fillId="8" borderId="6" xfId="0" applyFont="1" applyFill="1" applyBorder="1"/>
    <xf numFmtId="0" fontId="0" fillId="0" borderId="5" xfId="0" applyBorder="1" applyAlignment="1">
      <alignment horizontal="center"/>
    </xf>
    <xf numFmtId="0" fontId="0" fillId="0" borderId="4" xfId="0" applyBorder="1"/>
    <xf numFmtId="0" fontId="3" fillId="9" borderId="6" xfId="0" applyFont="1" applyFill="1" applyBorder="1"/>
    <xf numFmtId="0" fontId="2" fillId="0" borderId="5" xfId="0" applyFont="1" applyBorder="1" applyAlignment="1">
      <alignment horizontal="center"/>
    </xf>
    <xf numFmtId="0" fontId="1" fillId="10" borderId="5" xfId="0" applyFont="1" applyFill="1" applyBorder="1" applyAlignment="1">
      <alignment horizontal="center"/>
    </xf>
    <xf numFmtId="0" fontId="1" fillId="10" borderId="7" xfId="0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Minutos</a:t>
            </a:r>
            <a:r>
              <a:rPr lang="en-US" baseline="0"/>
              <a:t> de paro for falta de material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'MINUTOS DE PARO'!$R$7</c:f>
              <c:strCache>
                <c:ptCount val="1"/>
                <c:pt idx="0">
                  <c:v>WSA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'MINUTOS DE PARO'!$S$6:$Y$6</c:f>
              <c:strCache>
                <c:ptCount val="7"/>
                <c:pt idx="0">
                  <c:v>Ago</c:v>
                </c:pt>
                <c:pt idx="1">
                  <c:v>Sep</c:v>
                </c:pt>
                <c:pt idx="2">
                  <c:v>Oct</c:v>
                </c:pt>
                <c:pt idx="3">
                  <c:v>Nov</c:v>
                </c:pt>
                <c:pt idx="4">
                  <c:v>Dic</c:v>
                </c:pt>
                <c:pt idx="5">
                  <c:v>Ene</c:v>
                </c:pt>
                <c:pt idx="6">
                  <c:v>Feb</c:v>
                </c:pt>
              </c:strCache>
            </c:strRef>
          </c:cat>
          <c:val>
            <c:numRef>
              <c:f>'MINUTOS DE PARO'!$S$7:$Y$7</c:f>
              <c:numCache>
                <c:formatCode>General</c:formatCode>
                <c:ptCount val="7"/>
                <c:pt idx="0">
                  <c:v>242</c:v>
                </c:pt>
                <c:pt idx="1">
                  <c:v>204</c:v>
                </c:pt>
                <c:pt idx="2">
                  <c:v>361</c:v>
                </c:pt>
                <c:pt idx="3">
                  <c:v>380</c:v>
                </c:pt>
                <c:pt idx="4">
                  <c:v>403</c:v>
                </c:pt>
                <c:pt idx="5">
                  <c:v>184</c:v>
                </c:pt>
                <c:pt idx="6">
                  <c:v>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92-4B80-90C7-83DB7EDCE4EC}"/>
            </c:ext>
          </c:extLst>
        </c:ser>
        <c:ser>
          <c:idx val="1"/>
          <c:order val="1"/>
          <c:tx>
            <c:strRef>
              <c:f>'MINUTOS DE PARO'!$R$8</c:f>
              <c:strCache>
                <c:ptCount val="1"/>
                <c:pt idx="0">
                  <c:v>WSM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'MINUTOS DE PARO'!$S$6:$Y$6</c:f>
              <c:strCache>
                <c:ptCount val="7"/>
                <c:pt idx="0">
                  <c:v>Ago</c:v>
                </c:pt>
                <c:pt idx="1">
                  <c:v>Sep</c:v>
                </c:pt>
                <c:pt idx="2">
                  <c:v>Oct</c:v>
                </c:pt>
                <c:pt idx="3">
                  <c:v>Nov</c:v>
                </c:pt>
                <c:pt idx="4">
                  <c:v>Dic</c:v>
                </c:pt>
                <c:pt idx="5">
                  <c:v>Ene</c:v>
                </c:pt>
                <c:pt idx="6">
                  <c:v>Feb</c:v>
                </c:pt>
              </c:strCache>
            </c:strRef>
          </c:cat>
          <c:val>
            <c:numRef>
              <c:f>'MINUTOS DE PARO'!$S$8:$Y$8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102</c:v>
                </c:pt>
                <c:pt idx="4">
                  <c:v>9</c:v>
                </c:pt>
                <c:pt idx="5">
                  <c:v>42</c:v>
                </c:pt>
                <c:pt idx="6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92-4B80-90C7-83DB7EDCE4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82915808"/>
        <c:axId val="382912448"/>
      </c:barChart>
      <c:lineChart>
        <c:grouping val="standard"/>
        <c:varyColors val="0"/>
        <c:ser>
          <c:idx val="2"/>
          <c:order val="2"/>
          <c:tx>
            <c:strRef>
              <c:f>'MINUTOS DE PARO'!$R$9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'MINUTOS DE PARO'!$S$6:$Y$6</c:f>
              <c:strCache>
                <c:ptCount val="7"/>
                <c:pt idx="0">
                  <c:v>Ago</c:v>
                </c:pt>
                <c:pt idx="1">
                  <c:v>Sep</c:v>
                </c:pt>
                <c:pt idx="2">
                  <c:v>Oct</c:v>
                </c:pt>
                <c:pt idx="3">
                  <c:v>Nov</c:v>
                </c:pt>
                <c:pt idx="4">
                  <c:v>Dic</c:v>
                </c:pt>
                <c:pt idx="5">
                  <c:v>Ene</c:v>
                </c:pt>
                <c:pt idx="6">
                  <c:v>Feb</c:v>
                </c:pt>
              </c:strCache>
            </c:strRef>
          </c:cat>
          <c:val>
            <c:numRef>
              <c:f>'MINUTOS DE PARO'!$S$9:$Y$9</c:f>
              <c:numCache>
                <c:formatCode>General</c:formatCode>
                <c:ptCount val="7"/>
                <c:pt idx="0">
                  <c:v>242</c:v>
                </c:pt>
                <c:pt idx="1">
                  <c:v>204</c:v>
                </c:pt>
                <c:pt idx="2">
                  <c:v>361</c:v>
                </c:pt>
                <c:pt idx="3">
                  <c:v>482</c:v>
                </c:pt>
                <c:pt idx="4">
                  <c:v>412</c:v>
                </c:pt>
                <c:pt idx="5">
                  <c:v>226</c:v>
                </c:pt>
                <c:pt idx="6">
                  <c:v>564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92-4B80-90C7-83DB7EDCE4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2915808"/>
        <c:axId val="382912448"/>
      </c:lineChart>
      <c:catAx>
        <c:axId val="382915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912448"/>
        <c:crosses val="autoZero"/>
        <c:auto val="1"/>
        <c:lblAlgn val="ctr"/>
        <c:lblOffset val="100"/>
        <c:noMultiLvlLbl val="0"/>
      </c:catAx>
      <c:valAx>
        <c:axId val="38291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915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Minutos de paro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'MINUTOS DE PARO'!$B$23:$B$25</c:f>
              <c:strCache>
                <c:ptCount val="3"/>
                <c:pt idx="0">
                  <c:v>Materials are not requested on time</c:v>
                </c:pt>
                <c:pt idx="1">
                  <c:v>The warehouse is not delivering supplies on time</c:v>
                </c:pt>
                <c:pt idx="2">
                  <c:v>Shortage of supplies - Internal logistics</c:v>
                </c:pt>
              </c:strCache>
            </c:strRef>
          </c:cat>
          <c:val>
            <c:numRef>
              <c:f>'MINUTOS DE PARO'!$O$23:$O$25</c:f>
              <c:numCache>
                <c:formatCode>General</c:formatCode>
                <c:ptCount val="3"/>
                <c:pt idx="0">
                  <c:v>1462</c:v>
                </c:pt>
                <c:pt idx="1">
                  <c:v>993</c:v>
                </c:pt>
                <c:pt idx="2">
                  <c:v>379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48-49A0-8632-861BC6C8F7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1749888"/>
        <c:axId val="611752288"/>
      </c:barChart>
      <c:catAx>
        <c:axId val="61174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752288"/>
        <c:crosses val="autoZero"/>
        <c:auto val="1"/>
        <c:lblAlgn val="ctr"/>
        <c:lblOffset val="100"/>
        <c:noMultiLvlLbl val="0"/>
      </c:catAx>
      <c:valAx>
        <c:axId val="61175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749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Minut</a:t>
            </a:r>
            <a:r>
              <a:rPr lang="en-US" baseline="0"/>
              <a:t>es of downtime due to material shortages 2025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'MINUTOS DE PARO'!$B$23</c:f>
              <c:strCache>
                <c:ptCount val="1"/>
                <c:pt idx="0">
                  <c:v>Materials are not requested on time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'MINUTOS DE PARO'!$C$22:$N$22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'MINUTOS DE PARO'!$C$23:$N$23</c:f>
              <c:numCache>
                <c:formatCode>General</c:formatCode>
                <c:ptCount val="12"/>
                <c:pt idx="0">
                  <c:v>257</c:v>
                </c:pt>
                <c:pt idx="1">
                  <c:v>108</c:v>
                </c:pt>
                <c:pt idx="2">
                  <c:v>12</c:v>
                </c:pt>
                <c:pt idx="3">
                  <c:v>120</c:v>
                </c:pt>
                <c:pt idx="4">
                  <c:v>76</c:v>
                </c:pt>
                <c:pt idx="5">
                  <c:v>0</c:v>
                </c:pt>
                <c:pt idx="6">
                  <c:v>0</c:v>
                </c:pt>
                <c:pt idx="7">
                  <c:v>208</c:v>
                </c:pt>
                <c:pt idx="8">
                  <c:v>78</c:v>
                </c:pt>
                <c:pt idx="9">
                  <c:v>199</c:v>
                </c:pt>
                <c:pt idx="10">
                  <c:v>225</c:v>
                </c:pt>
                <c:pt idx="11">
                  <c:v>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B0-40BE-B7D3-57AF81E33DD1}"/>
            </c:ext>
          </c:extLst>
        </c:ser>
        <c:ser>
          <c:idx val="1"/>
          <c:order val="1"/>
          <c:tx>
            <c:strRef>
              <c:f>'MINUTOS DE PARO'!$B$24</c:f>
              <c:strCache>
                <c:ptCount val="1"/>
                <c:pt idx="0">
                  <c:v>The warehouse is not delivering supplies on time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'MINUTOS DE PARO'!$C$22:$N$22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'MINUTOS DE PARO'!$C$24:$N$24</c:f>
              <c:numCache>
                <c:formatCode>General</c:formatCode>
                <c:ptCount val="12"/>
                <c:pt idx="0">
                  <c:v>44</c:v>
                </c:pt>
                <c:pt idx="1">
                  <c:v>15</c:v>
                </c:pt>
                <c:pt idx="2">
                  <c:v>97</c:v>
                </c:pt>
                <c:pt idx="3">
                  <c:v>128</c:v>
                </c:pt>
                <c:pt idx="4">
                  <c:v>109</c:v>
                </c:pt>
                <c:pt idx="5">
                  <c:v>51</c:v>
                </c:pt>
                <c:pt idx="6">
                  <c:v>0</c:v>
                </c:pt>
                <c:pt idx="7">
                  <c:v>22</c:v>
                </c:pt>
                <c:pt idx="8">
                  <c:v>108</c:v>
                </c:pt>
                <c:pt idx="9">
                  <c:v>146</c:v>
                </c:pt>
                <c:pt idx="10">
                  <c:v>102</c:v>
                </c:pt>
                <c:pt idx="11">
                  <c:v>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B0-40BE-B7D3-57AF81E33DD1}"/>
            </c:ext>
          </c:extLst>
        </c:ser>
        <c:ser>
          <c:idx val="2"/>
          <c:order val="2"/>
          <c:tx>
            <c:strRef>
              <c:f>'MINUTOS DE PARO'!$B$25</c:f>
              <c:strCache>
                <c:ptCount val="1"/>
                <c:pt idx="0">
                  <c:v>Shortage of supplies - Internal logistics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'MINUTOS DE PARO'!$C$22:$N$22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'MINUTOS DE PARO'!$C$25:$N$25</c:f>
              <c:numCache>
                <c:formatCode>General</c:formatCode>
                <c:ptCount val="12"/>
                <c:pt idx="0">
                  <c:v>0</c:v>
                </c:pt>
                <c:pt idx="1">
                  <c:v>56</c:v>
                </c:pt>
                <c:pt idx="2">
                  <c:v>0</c:v>
                </c:pt>
                <c:pt idx="3">
                  <c:v>7</c:v>
                </c:pt>
                <c:pt idx="4">
                  <c:v>46</c:v>
                </c:pt>
                <c:pt idx="5">
                  <c:v>45</c:v>
                </c:pt>
                <c:pt idx="6">
                  <c:v>73</c:v>
                </c:pt>
                <c:pt idx="7">
                  <c:v>12</c:v>
                </c:pt>
                <c:pt idx="8">
                  <c:v>18</c:v>
                </c:pt>
                <c:pt idx="9">
                  <c:v>16</c:v>
                </c:pt>
                <c:pt idx="10">
                  <c:v>53</c:v>
                </c:pt>
                <c:pt idx="11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B0-40BE-B7D3-57AF81E33D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65871"/>
        <c:axId val="669711"/>
      </c:barChart>
      <c:scatterChart>
        <c:scatterStyle val="lineMarker"/>
        <c:varyColors val="0"/>
        <c:ser>
          <c:idx val="3"/>
          <c:order val="3"/>
          <c:tx>
            <c:strRef>
              <c:f>'MINUTOS DE PARO'!$B$26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'MINUTOS DE PARO'!$C$22:$N$22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xVal>
          <c:yVal>
            <c:numRef>
              <c:f>'MINUTOS DE PARO'!$C$26:$N$26</c:f>
              <c:numCache>
                <c:formatCode>General</c:formatCode>
                <c:ptCount val="12"/>
                <c:pt idx="0">
                  <c:v>301</c:v>
                </c:pt>
                <c:pt idx="1">
                  <c:v>179</c:v>
                </c:pt>
                <c:pt idx="2">
                  <c:v>109</c:v>
                </c:pt>
                <c:pt idx="3">
                  <c:v>255</c:v>
                </c:pt>
                <c:pt idx="4">
                  <c:v>231</c:v>
                </c:pt>
                <c:pt idx="5">
                  <c:v>96</c:v>
                </c:pt>
                <c:pt idx="6">
                  <c:v>73</c:v>
                </c:pt>
                <c:pt idx="7">
                  <c:v>242</c:v>
                </c:pt>
                <c:pt idx="8">
                  <c:v>204</c:v>
                </c:pt>
                <c:pt idx="9">
                  <c:v>361</c:v>
                </c:pt>
                <c:pt idx="10">
                  <c:v>380</c:v>
                </c:pt>
                <c:pt idx="11">
                  <c:v>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6B0-40BE-B7D3-57AF81E33D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5871"/>
        <c:axId val="669711"/>
      </c:scatterChart>
      <c:catAx>
        <c:axId val="665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711"/>
        <c:crosses val="autoZero"/>
        <c:auto val="1"/>
        <c:lblAlgn val="ctr"/>
        <c:lblOffset val="100"/>
        <c:noMultiLvlLbl val="0"/>
      </c:catAx>
      <c:valAx>
        <c:axId val="669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Minutos</a:t>
            </a:r>
            <a:r>
              <a:rPr lang="en-US" baseline="0"/>
              <a:t> de paro por solicitud tardía de materiales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'MINUTOS DE PARO'!$AB$4:$AB$15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'MINUTOS DE PARO'!$AC$4:$AC$15</c:f>
              <c:numCache>
                <c:formatCode>General</c:formatCode>
                <c:ptCount val="12"/>
                <c:pt idx="0">
                  <c:v>36</c:v>
                </c:pt>
                <c:pt idx="7">
                  <c:v>89</c:v>
                </c:pt>
                <c:pt idx="8">
                  <c:v>22</c:v>
                </c:pt>
                <c:pt idx="10">
                  <c:v>95</c:v>
                </c:pt>
                <c:pt idx="11">
                  <c:v>33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51C-439F-B61B-06ECA262E8A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'MINUTOS DE PARO'!$AB$4:$AB$15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'MINUTOS DE PARO'!$AD$4:$AD$15</c:f>
              <c:numCache>
                <c:formatCode>General</c:formatCode>
                <c:ptCount val="12"/>
                <c:pt idx="4">
                  <c:v>42</c:v>
                </c:pt>
                <c:pt idx="7">
                  <c:v>10</c:v>
                </c:pt>
                <c:pt idx="10">
                  <c:v>33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751C-439F-B61B-06ECA262E8A1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'MINUTOS DE PARO'!$AB$4:$AB$15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'MINUTOS DE PARO'!$AE$4:$AE$15</c:f>
              <c:numCache>
                <c:formatCode>General</c:formatCode>
                <c:ptCount val="12"/>
                <c:pt idx="4">
                  <c:v>10</c:v>
                </c:pt>
                <c:pt idx="7">
                  <c:v>25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751C-439F-B61B-06ECA262E8A1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'MINUTOS DE PARO'!$AB$4:$AB$15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'MINUTOS DE PARO'!$AF$4:$AF$15</c:f>
              <c:numCache>
                <c:formatCode>General</c:formatCode>
                <c:ptCount val="12"/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3-751C-439F-B61B-06ECA262E8A1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'MINUTOS DE PARO'!$AB$4:$AB$15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'MINUTOS DE PARO'!$AG$4:$AG$15</c:f>
              <c:numCache>
                <c:formatCode>General</c:formatCode>
                <c:ptCount val="12"/>
                <c:pt idx="9">
                  <c:v>13</c:v>
                </c:pt>
                <c:pt idx="11">
                  <c:v>10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4-751C-439F-B61B-06ECA262E8A1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'MINUTOS DE PARO'!$AB$4:$AB$15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'MINUTOS DE PARO'!$AH$4:$AH$15</c:f>
              <c:numCache>
                <c:formatCode>General</c:formatCode>
                <c:ptCount val="12"/>
                <c:pt idx="0">
                  <c:v>157</c:v>
                </c:pt>
                <c:pt idx="1">
                  <c:v>76</c:v>
                </c:pt>
                <c:pt idx="3">
                  <c:v>60</c:v>
                </c:pt>
                <c:pt idx="4">
                  <c:v>24</c:v>
                </c:pt>
                <c:pt idx="7">
                  <c:v>49</c:v>
                </c:pt>
                <c:pt idx="9">
                  <c:v>103</c:v>
                </c:pt>
                <c:pt idx="10">
                  <c:v>90</c:v>
                </c:pt>
                <c:pt idx="11">
                  <c:v>30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751C-439F-B61B-06ECA262E8A1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'MINUTOS DE PARO'!$AB$4:$AB$15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'MINUTOS DE PARO'!$AI$4:$AI$15</c:f>
              <c:numCache>
                <c:formatCode>General</c:formatCode>
                <c:ptCount val="12"/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751C-439F-B61B-06ECA262E8A1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'MINUTOS DE PARO'!$AB$4:$AB$15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'MINUTOS DE PARO'!$AJ$4:$AJ$15</c:f>
              <c:numCache>
                <c:formatCode>General</c:formatCode>
                <c:ptCount val="12"/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7-751C-439F-B61B-06ECA262E8A1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'MINUTOS DE PARO'!$AB$4:$AB$15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'MINUTOS DE PARO'!$AK$4:$AK$15</c:f>
              <c:numCache>
                <c:formatCode>General</c:formatCode>
                <c:ptCount val="12"/>
                <c:pt idx="0">
                  <c:v>64</c:v>
                </c:pt>
                <c:pt idx="1">
                  <c:v>32</c:v>
                </c:pt>
                <c:pt idx="2">
                  <c:v>12</c:v>
                </c:pt>
                <c:pt idx="3">
                  <c:v>60</c:v>
                </c:pt>
                <c:pt idx="7">
                  <c:v>35</c:v>
                </c:pt>
                <c:pt idx="8">
                  <c:v>56</c:v>
                </c:pt>
                <c:pt idx="9">
                  <c:v>83</c:v>
                </c:pt>
                <c:pt idx="10">
                  <c:v>7</c:v>
                </c:pt>
                <c:pt idx="11">
                  <c:v>106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8-751C-439F-B61B-06ECA262E8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415688399"/>
        <c:axId val="1415689839"/>
      </c:barChart>
      <c:scatterChart>
        <c:scatterStyle val="lineMarker"/>
        <c:varyColors val="0"/>
        <c:ser>
          <c:idx val="10"/>
          <c:order val="9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'MINUTOS DE PARO'!$AB$4:$AB$15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xVal>
          <c:yVal>
            <c:numRef>
              <c:f>'MINUTOS DE PARO'!$AL$4:$AL$15</c:f>
              <c:numCache>
                <c:formatCode>General</c:formatCode>
                <c:ptCount val="12"/>
                <c:pt idx="0">
                  <c:v>257</c:v>
                </c:pt>
                <c:pt idx="1">
                  <c:v>108</c:v>
                </c:pt>
                <c:pt idx="2">
                  <c:v>12</c:v>
                </c:pt>
                <c:pt idx="3">
                  <c:v>120</c:v>
                </c:pt>
                <c:pt idx="4">
                  <c:v>76</c:v>
                </c:pt>
                <c:pt idx="7">
                  <c:v>208</c:v>
                </c:pt>
                <c:pt idx="8">
                  <c:v>78</c:v>
                </c:pt>
                <c:pt idx="9">
                  <c:v>199</c:v>
                </c:pt>
                <c:pt idx="10">
                  <c:v>225</c:v>
                </c:pt>
                <c:pt idx="11">
                  <c:v>179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9-751C-439F-B61B-06ECA262E8A1}"/>
            </c:ext>
          </c:extLst>
        </c:ser>
        <c:ser>
          <c:idx val="9"/>
          <c:order val="10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yVal>
            <c:numLit>
              <c:formatCode>General</c:formatCode>
              <c:ptCount val="1"/>
              <c:pt idx="0">
                <c:v>1</c:v>
              </c:pt>
            </c:numLit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A-751C-439F-B61B-06ECA262E8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5688399"/>
        <c:axId val="1415689839"/>
      </c:scatterChart>
      <c:catAx>
        <c:axId val="1415688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5689839"/>
        <c:crosses val="autoZero"/>
        <c:auto val="1"/>
        <c:lblAlgn val="ctr"/>
        <c:lblOffset val="100"/>
        <c:noMultiLvlLbl val="0"/>
      </c:catAx>
      <c:valAx>
        <c:axId val="141568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5688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Minutos</a:t>
            </a:r>
            <a:r>
              <a:rPr lang="en-US" baseline="0"/>
              <a:t> de paro por solicitud tardía de materiales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'MINUTOS DE PARO'!$AC$24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'MINUTOS DE PARO'!$AB$25:$AB$33</c:f>
              <c:strCache>
                <c:ptCount val="9"/>
                <c:pt idx="0">
                  <c:v>L-721</c:v>
                </c:pt>
                <c:pt idx="1">
                  <c:v>L-737</c:v>
                </c:pt>
                <c:pt idx="2">
                  <c:v>L-162</c:v>
                </c:pt>
                <c:pt idx="3">
                  <c:v>L-183</c:v>
                </c:pt>
                <c:pt idx="4">
                  <c:v>L-184</c:v>
                </c:pt>
                <c:pt idx="5">
                  <c:v>L-672</c:v>
                </c:pt>
                <c:pt idx="6">
                  <c:v>L-610</c:v>
                </c:pt>
                <c:pt idx="7">
                  <c:v>L-722</c:v>
                </c:pt>
                <c:pt idx="8">
                  <c:v>L-723</c:v>
                </c:pt>
              </c:strCache>
            </c:strRef>
          </c:cat>
          <c:val>
            <c:numRef>
              <c:f>'MINUTOS DE PARO'!$AC$25:$AC$33</c:f>
              <c:numCache>
                <c:formatCode>General</c:formatCode>
                <c:ptCount val="9"/>
                <c:pt idx="0">
                  <c:v>589</c:v>
                </c:pt>
                <c:pt idx="1">
                  <c:v>455</c:v>
                </c:pt>
                <c:pt idx="2">
                  <c:v>275</c:v>
                </c:pt>
                <c:pt idx="3">
                  <c:v>85</c:v>
                </c:pt>
                <c:pt idx="4">
                  <c:v>35</c:v>
                </c:pt>
                <c:pt idx="5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77-475D-9BCE-C46249422E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9317071"/>
        <c:axId val="1489299791"/>
      </c:barChart>
      <c:catAx>
        <c:axId val="1489317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299791"/>
        <c:crosses val="autoZero"/>
        <c:auto val="1"/>
        <c:lblAlgn val="ctr"/>
        <c:lblOffset val="100"/>
        <c:noMultiLvlLbl val="0"/>
      </c:catAx>
      <c:valAx>
        <c:axId val="148929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317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Minutos</a:t>
            </a:r>
            <a:r>
              <a:rPr lang="en-US" baseline="0"/>
              <a:t> de paro por solictud tardía de materiales en 2026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9"/>
          <c:order val="9"/>
          <c:tx>
            <c:strRef>
              <c:f>'MINUTOS DE PARO'!$AL$18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'MINUTOS DE PARO'!$AB$19:$AB$21</c:f>
              <c:strCache>
                <c:ptCount val="3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'MINUTOS DE PARO'!$AL$19:$AL$21</c:f>
              <c:numCache>
                <c:formatCode>General</c:formatCode>
                <c:ptCount val="3"/>
                <c:pt idx="0">
                  <c:v>106</c:v>
                </c:pt>
                <c:pt idx="1">
                  <c:v>75</c:v>
                </c:pt>
                <c:pt idx="2">
                  <c:v>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E6-464A-8870-2AADE4A34A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35575087"/>
        <c:axId val="23554724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'MINUTOS DE PARO'!$AC$18</c15:sqref>
                        </c15:formulaRef>
                      </c:ext>
                    </c:extLst>
                    <c:strCache>
                      <c:ptCount val="1"/>
                      <c:pt idx="0">
                        <c:v>L-162</c:v>
                      </c:pt>
                    </c:strCache>
                  </c:strRef>
                </c:tx>
                <c:spPr>
                  <a:solidFill>
                    <a:srgbClr val="00B0F0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'MINUTOS DE PARO'!$AB$19:$AB$21</c15:sqref>
                        </c15:formulaRef>
                      </c:ext>
                    </c:extLst>
                    <c:strCache>
                      <c:ptCount val="3"/>
                      <c:pt idx="0">
                        <c:v>ENE</c:v>
                      </c:pt>
                      <c:pt idx="1">
                        <c:v>FEB</c:v>
                      </c:pt>
                      <c:pt idx="2">
                        <c:v>MAR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'MINUTOS DE PARO'!$AC$19:$AC$21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BDE6-464A-8870-2AADE4A34AA0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'MINUTOS DE PARO'!$AD$18</c15:sqref>
                        </c15:formulaRef>
                      </c:ext>
                    </c:extLst>
                    <c:strCache>
                      <c:ptCount val="1"/>
                      <c:pt idx="0">
                        <c:v>L-183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'MINUTOS DE PARO'!$AB$19:$AB$21</c15:sqref>
                        </c15:formulaRef>
                      </c:ext>
                    </c:extLst>
                    <c:strCache>
                      <c:ptCount val="3"/>
                      <c:pt idx="0">
                        <c:v>ENE</c:v>
                      </c:pt>
                      <c:pt idx="1">
                        <c:v>FEB</c:v>
                      </c:pt>
                      <c:pt idx="2">
                        <c:v>MAR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'MINUTOS DE PARO'!$AD$19:$AD$21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2">
                        <c:v>58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DE6-464A-8870-2AADE4A34AA0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'MINUTOS DE PARO'!$AE$18</c15:sqref>
                        </c15:formulaRef>
                      </c:ext>
                    </c:extLst>
                    <c:strCache>
                      <c:ptCount val="1"/>
                      <c:pt idx="0">
                        <c:v>L-184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'MINUTOS DE PARO'!$AB$19:$AB$21</c15:sqref>
                        </c15:formulaRef>
                      </c:ext>
                    </c:extLst>
                    <c:strCache>
                      <c:ptCount val="3"/>
                      <c:pt idx="0">
                        <c:v>ENE</c:v>
                      </c:pt>
                      <c:pt idx="1">
                        <c:v>FEB</c:v>
                      </c:pt>
                      <c:pt idx="2">
                        <c:v>MAR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'MINUTOS DE PARO'!$AE$19:$AE$21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DE6-464A-8870-2AADE4A34AA0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'MINUTOS DE PARO'!$AF$18</c15:sqref>
                        </c15:formulaRef>
                      </c:ext>
                    </c:extLst>
                    <c:strCache>
                      <c:ptCount val="1"/>
                      <c:pt idx="0">
                        <c:v>L-610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'MINUTOS DE PARO'!$AB$19:$AB$21</c15:sqref>
                        </c15:formulaRef>
                      </c:ext>
                    </c:extLst>
                    <c:strCache>
                      <c:ptCount val="3"/>
                      <c:pt idx="0">
                        <c:v>ENE</c:v>
                      </c:pt>
                      <c:pt idx="1">
                        <c:v>FEB</c:v>
                      </c:pt>
                      <c:pt idx="2">
                        <c:v>MAR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'MINUTOS DE PARO'!$AF$19:$AF$21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DE6-464A-8870-2AADE4A34AA0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'MINUTOS DE PARO'!$AG$18</c15:sqref>
                        </c15:formulaRef>
                      </c:ext>
                    </c:extLst>
                    <c:strCache>
                      <c:ptCount val="1"/>
                      <c:pt idx="0">
                        <c:v>L-672</c:v>
                      </c:pt>
                    </c:strCache>
                  </c:strRef>
                </c:tx>
                <c:spPr>
                  <a:solidFill>
                    <a:srgbClr val="FF7C80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'MINUTOS DE PARO'!$AB$19:$AB$21</c15:sqref>
                        </c15:formulaRef>
                      </c:ext>
                    </c:extLst>
                    <c:strCache>
                      <c:ptCount val="3"/>
                      <c:pt idx="0">
                        <c:v>ENE</c:v>
                      </c:pt>
                      <c:pt idx="1">
                        <c:v>FEB</c:v>
                      </c:pt>
                      <c:pt idx="2">
                        <c:v>MAR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'MINUTOS DE PARO'!$AG$19:$AG$21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32</c:v>
                      </c:pt>
                      <c:pt idx="2">
                        <c:v>66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DE6-464A-8870-2AADE4A34AA0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'MINUTOS DE PARO'!$AH$18</c15:sqref>
                        </c15:formulaRef>
                      </c:ext>
                    </c:extLst>
                    <c:strCache>
                      <c:ptCount val="1"/>
                      <c:pt idx="0">
                        <c:v>L-721</c:v>
                      </c:pt>
                    </c:strCache>
                  </c:strRef>
                </c:tx>
                <c:spPr>
                  <a:solidFill>
                    <a:srgbClr val="FFC000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'MINUTOS DE PARO'!$AB$19:$AB$21</c15:sqref>
                        </c15:formulaRef>
                      </c:ext>
                    </c:extLst>
                    <c:strCache>
                      <c:ptCount val="3"/>
                      <c:pt idx="0">
                        <c:v>ENE</c:v>
                      </c:pt>
                      <c:pt idx="1">
                        <c:v>FEB</c:v>
                      </c:pt>
                      <c:pt idx="2">
                        <c:v>MAR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'MINUTOS DE PARO'!$AH$19:$AH$21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14</c:v>
                      </c:pt>
                      <c:pt idx="1">
                        <c:v>33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DE6-464A-8870-2AADE4A34AA0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'MINUTOS DE PARO'!$AI$18</c15:sqref>
                        </c15:formulaRef>
                      </c:ext>
                    </c:extLst>
                    <c:strCache>
                      <c:ptCount val="1"/>
                      <c:pt idx="0">
                        <c:v>L-722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'MINUTOS DE PARO'!$AB$19:$AB$21</c15:sqref>
                        </c15:formulaRef>
                      </c:ext>
                    </c:extLst>
                    <c:strCache>
                      <c:ptCount val="3"/>
                      <c:pt idx="0">
                        <c:v>ENE</c:v>
                      </c:pt>
                      <c:pt idx="1">
                        <c:v>FEB</c:v>
                      </c:pt>
                      <c:pt idx="2">
                        <c:v>MAR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'MINUTOS DE PARO'!$AI$19:$AI$21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1">
                        <c:v>42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BDE6-464A-8870-2AADE4A34AA0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'MINUTOS DE PARO'!$AJ$18</c15:sqref>
                        </c15:formulaRef>
                      </c:ext>
                    </c:extLst>
                    <c:strCache>
                      <c:ptCount val="1"/>
                      <c:pt idx="0">
                        <c:v>L-723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'MINUTOS DE PARO'!$AB$19:$AB$21</c15:sqref>
                        </c15:formulaRef>
                      </c:ext>
                    </c:extLst>
                    <c:strCache>
                      <c:ptCount val="3"/>
                      <c:pt idx="0">
                        <c:v>ENE</c:v>
                      </c:pt>
                      <c:pt idx="1">
                        <c:v>FEB</c:v>
                      </c:pt>
                      <c:pt idx="2">
                        <c:v>MAR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'MINUTOS DE PARO'!$AJ$19:$AJ$21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BDE6-464A-8870-2AADE4A34AA0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'MINUTOS DE PARO'!$AK$18</c15:sqref>
                        </c15:formulaRef>
                      </c:ext>
                    </c:extLst>
                    <c:strCache>
                      <c:ptCount val="1"/>
                      <c:pt idx="0">
                        <c:v>L-737</c:v>
                      </c:pt>
                    </c:strCache>
                  </c:strRef>
                </c:tx>
                <c:spPr>
                  <a:solidFill>
                    <a:srgbClr val="92D050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'MINUTOS DE PARO'!$AB$19:$AB$21</c15:sqref>
                        </c15:formulaRef>
                      </c:ext>
                    </c:extLst>
                    <c:strCache>
                      <c:ptCount val="3"/>
                      <c:pt idx="0">
                        <c:v>ENE</c:v>
                      </c:pt>
                      <c:pt idx="1">
                        <c:v>FEB</c:v>
                      </c:pt>
                      <c:pt idx="2">
                        <c:v>MAR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'MINUTOS DE PARO'!$AK$19:$AK$21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44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BDE6-464A-8870-2AADE4A34AA0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10"/>
          <c:order val="10"/>
          <c:tx>
            <c:strRef>
              <c:f>'MINUTOS DE PARO'!$AM$18</c:f>
              <c:strCache>
                <c:ptCount val="1"/>
                <c:pt idx="0">
                  <c:v>Min. Promedio 2025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'MINUTOS DE PARO'!$AB$19:$AB$21</c:f>
              <c:strCache>
                <c:ptCount val="3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'MINUTOS DE PARO'!$AM$19:$AM$21</c:f>
              <c:numCache>
                <c:formatCode>General</c:formatCode>
                <c:ptCount val="3"/>
                <c:pt idx="0">
                  <c:v>122</c:v>
                </c:pt>
                <c:pt idx="1">
                  <c:v>122</c:v>
                </c:pt>
                <c:pt idx="2">
                  <c:v>122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E6-464A-8870-2AADE4A34A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5575087"/>
        <c:axId val="235547247"/>
      </c:lineChart>
      <c:catAx>
        <c:axId val="235575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547247"/>
        <c:crosses val="autoZero"/>
        <c:auto val="1"/>
        <c:lblAlgn val="ctr"/>
        <c:lblOffset val="100"/>
        <c:noMultiLvlLbl val="0"/>
      </c:catAx>
      <c:valAx>
        <c:axId val="235547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575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Minutos</a:t>
            </a:r>
            <a:r>
              <a:rPr lang="en-US" baseline="0"/>
              <a:t> de paro por solicitud tardía de materiales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'MINUTOS DE PARO'!$AC$24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'MINUTOS DE PARO'!$AB$40:$AB$49</c:f>
              <c:strCache>
                <c:ptCount val="10"/>
                <c:pt idx="0">
                  <c:v>L-672</c:v>
                </c:pt>
                <c:pt idx="1">
                  <c:v>L-183</c:v>
                </c:pt>
                <c:pt idx="2">
                  <c:v>L-721</c:v>
                </c:pt>
                <c:pt idx="3">
                  <c:v>L-737</c:v>
                </c:pt>
                <c:pt idx="4">
                  <c:v>L-722</c:v>
                </c:pt>
                <c:pt idx="5">
                  <c:v>L-162</c:v>
                </c:pt>
                <c:pt idx="6">
                  <c:v>L-184</c:v>
                </c:pt>
                <c:pt idx="7">
                  <c:v>L-610</c:v>
                </c:pt>
                <c:pt idx="8">
                  <c:v>L-723</c:v>
                </c:pt>
                <c:pt idx="9">
                  <c:v>L-708</c:v>
                </c:pt>
              </c:strCache>
            </c:strRef>
          </c:cat>
          <c:val>
            <c:numRef>
              <c:f>'MINUTOS DE PARO'!$AC$40:$AC$49</c:f>
              <c:numCache>
                <c:formatCode>General</c:formatCode>
                <c:ptCount val="10"/>
                <c:pt idx="0">
                  <c:v>82</c:v>
                </c:pt>
                <c:pt idx="1">
                  <c:v>58</c:v>
                </c:pt>
                <c:pt idx="2">
                  <c:v>47</c:v>
                </c:pt>
                <c:pt idx="3">
                  <c:v>44</c:v>
                </c:pt>
                <c:pt idx="4">
                  <c:v>42</c:v>
                </c:pt>
                <c:pt idx="5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C1-466E-BF94-BC4B91211F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9317071"/>
        <c:axId val="1489299791"/>
      </c:barChart>
      <c:catAx>
        <c:axId val="1489317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299791"/>
        <c:crosses val="autoZero"/>
        <c:auto val="1"/>
        <c:lblAlgn val="ctr"/>
        <c:lblOffset val="100"/>
        <c:noMultiLvlLbl val="0"/>
      </c:catAx>
      <c:valAx>
        <c:axId val="148929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317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259023</xdr:colOff>
      <xdr:row>28</xdr:row>
      <xdr:rowOff>44259</xdr:rowOff>
    </xdr:from>
    <xdr:to>
      <xdr:col>22</xdr:col>
      <xdr:colOff>373048</xdr:colOff>
      <xdr:row>48</xdr:row>
      <xdr:rowOff>5942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5E4860-4ACD-4C24-9D95-96848C7E3C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516289</xdr:colOff>
      <xdr:row>27</xdr:row>
      <xdr:rowOff>164231</xdr:rowOff>
    </xdr:from>
    <xdr:to>
      <xdr:col>12</xdr:col>
      <xdr:colOff>43129</xdr:colOff>
      <xdr:row>46</xdr:row>
      <xdr:rowOff>166723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0444E0-2680-4ABE-A908-DF2A20B0C8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311689</xdr:colOff>
      <xdr:row>27</xdr:row>
      <xdr:rowOff>117954</xdr:rowOff>
    </xdr:from>
    <xdr:to>
      <xdr:col>6</xdr:col>
      <xdr:colOff>52191</xdr:colOff>
      <xdr:row>46</xdr:row>
      <xdr:rowOff>92604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E83E73B-0F83-413F-8A2B-A0BCB48CA3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39</xdr:col>
      <xdr:colOff>201842</xdr:colOff>
      <xdr:row>1</xdr:row>
      <xdr:rowOff>140906</xdr:rowOff>
    </xdr:from>
    <xdr:to>
      <xdr:col>46</xdr:col>
      <xdr:colOff>458070</xdr:colOff>
      <xdr:row>17</xdr:row>
      <xdr:rowOff>55412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9F8880F-F59B-4C36-8EEF-34572421D7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50542</xdr:colOff>
      <xdr:row>22</xdr:row>
      <xdr:rowOff>57449</xdr:rowOff>
    </xdr:from>
    <xdr:to>
      <xdr:col>39</xdr:col>
      <xdr:colOff>0</xdr:colOff>
      <xdr:row>37</xdr:row>
      <xdr:rowOff>1470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E3E826E-35FB-4551-998C-F4AAF55C6B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40</xdr:col>
      <xdr:colOff>230988</xdr:colOff>
      <xdr:row>17</xdr:row>
      <xdr:rowOff>179479</xdr:rowOff>
    </xdr:from>
    <xdr:to>
      <xdr:col>47</xdr:col>
      <xdr:colOff>551249</xdr:colOff>
      <xdr:row>32</xdr:row>
      <xdr:rowOff>78168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598EACE-B366-498E-A1E1-3293E51210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30</xdr:col>
      <xdr:colOff>36811</xdr:colOff>
      <xdr:row>37</xdr:row>
      <xdr:rowOff>64421</xdr:rowOff>
    </xdr:from>
    <xdr:to>
      <xdr:col>38</xdr:col>
      <xdr:colOff>593660</xdr:colOff>
      <xdr:row>49</xdr:row>
      <xdr:rowOff>82827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D354FDB-9F57-4BDC-A0C4-139A4FA398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Dept\TEF\Shared\RegistroNegocio\TEF6\Ingenieria%20Industrial\TEF6\Practicantes\2025_EGE1TL\MILKRUN\Ruta%208\202560409_MILK_EGE1TL_RESUMEN%20DATOS%20MILKRUN%208.xlsx" TargetMode="External"/><Relationship Id="rId1" Type="http://schemas.openxmlformats.org/officeDocument/2006/relationships/externalLinkPath" Target="MILKRUN/Ruta%208/202560409_MILK_EGE1TL_RESUMEN%20DATOS%20MILKRUN%2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guimiento TO'S (2)"/>
      <sheetName val="ENTREGA MATERIALES"/>
      <sheetName val="PICKING"/>
      <sheetName val="MUESTREO 1 P"/>
      <sheetName val="MUESTREO 1 E"/>
      <sheetName val="MUESTREO 2 P"/>
      <sheetName val="MUESTREO 2 E"/>
      <sheetName val="MUESTREO 3 P"/>
      <sheetName val="MUESTREO 3 E"/>
      <sheetName val="MUESTREO 4 P"/>
      <sheetName val="MUESTREO 4 E"/>
      <sheetName val="INFO SUPERMECADOS Y MATERIALES"/>
      <sheetName val="Sheet4"/>
      <sheetName val="ANÁLISIS PARADAS"/>
      <sheetName val="DESVIACIONES"/>
      <sheetName val="INFO SUPERMERCADOS"/>
      <sheetName val="LIMITE DE TO'S"/>
      <sheetName val="PFEP WS"/>
      <sheetName val="DESVIACIONES DE PFEP"/>
      <sheetName val="COMPARACION MATERIALES"/>
      <sheetName val="LIMITE MINIMO"/>
      <sheetName val="Sheet10"/>
      <sheetName val="MINUTOS DE PARO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4">
          <cell r="AB4" t="str">
            <v>ENE</v>
          </cell>
          <cell r="AC4">
            <v>36</v>
          </cell>
          <cell r="AH4">
            <v>157</v>
          </cell>
          <cell r="AK4">
            <v>64</v>
          </cell>
          <cell r="AL4">
            <v>257</v>
          </cell>
        </row>
        <row r="5">
          <cell r="AB5" t="str">
            <v>FEB</v>
          </cell>
          <cell r="AH5">
            <v>76</v>
          </cell>
          <cell r="AK5">
            <v>32</v>
          </cell>
          <cell r="AL5">
            <v>108</v>
          </cell>
        </row>
        <row r="6">
          <cell r="S6" t="str">
            <v>Ago</v>
          </cell>
          <cell r="T6" t="str">
            <v>Sep</v>
          </cell>
          <cell r="U6" t="str">
            <v>Oct</v>
          </cell>
          <cell r="V6" t="str">
            <v>Nov</v>
          </cell>
          <cell r="W6" t="str">
            <v>Dic</v>
          </cell>
          <cell r="X6" t="str">
            <v>Ene</v>
          </cell>
          <cell r="Y6" t="str">
            <v>Feb</v>
          </cell>
          <cell r="AB6" t="str">
            <v>MAR</v>
          </cell>
          <cell r="AK6">
            <v>12</v>
          </cell>
          <cell r="AL6">
            <v>12</v>
          </cell>
        </row>
        <row r="7">
          <cell r="R7" t="str">
            <v>WSA</v>
          </cell>
          <cell r="S7">
            <v>242</v>
          </cell>
          <cell r="T7">
            <v>204</v>
          </cell>
          <cell r="U7">
            <v>361</v>
          </cell>
          <cell r="V7">
            <v>380</v>
          </cell>
          <cell r="W7">
            <v>403</v>
          </cell>
          <cell r="X7">
            <v>184</v>
          </cell>
          <cell r="Y7">
            <v>549</v>
          </cell>
          <cell r="AB7" t="str">
            <v>ABR</v>
          </cell>
          <cell r="AH7">
            <v>60</v>
          </cell>
          <cell r="AK7">
            <v>60</v>
          </cell>
          <cell r="AL7">
            <v>120</v>
          </cell>
        </row>
        <row r="8">
          <cell r="R8" t="str">
            <v>WSM</v>
          </cell>
          <cell r="S8">
            <v>0</v>
          </cell>
          <cell r="T8">
            <v>0</v>
          </cell>
          <cell r="U8">
            <v>0</v>
          </cell>
          <cell r="V8">
            <v>102</v>
          </cell>
          <cell r="W8">
            <v>9</v>
          </cell>
          <cell r="X8">
            <v>42</v>
          </cell>
          <cell r="Y8">
            <v>15</v>
          </cell>
          <cell r="AB8" t="str">
            <v>MAY</v>
          </cell>
          <cell r="AD8">
            <v>42</v>
          </cell>
          <cell r="AE8">
            <v>10</v>
          </cell>
          <cell r="AH8">
            <v>24</v>
          </cell>
          <cell r="AL8">
            <v>76</v>
          </cell>
        </row>
        <row r="9">
          <cell r="R9" t="str">
            <v>Total</v>
          </cell>
          <cell r="S9">
            <v>242</v>
          </cell>
          <cell r="T9">
            <v>204</v>
          </cell>
          <cell r="U9">
            <v>361</v>
          </cell>
          <cell r="V9">
            <v>482</v>
          </cell>
          <cell r="W9">
            <v>412</v>
          </cell>
          <cell r="X9">
            <v>226</v>
          </cell>
          <cell r="Y9">
            <v>564</v>
          </cell>
          <cell r="AB9" t="str">
            <v>JUN</v>
          </cell>
        </row>
        <row r="10">
          <cell r="AB10" t="str">
            <v>JUL</v>
          </cell>
        </row>
        <row r="11">
          <cell r="AB11" t="str">
            <v>AGO</v>
          </cell>
          <cell r="AC11">
            <v>89</v>
          </cell>
          <cell r="AD11">
            <v>10</v>
          </cell>
          <cell r="AE11">
            <v>25</v>
          </cell>
          <cell r="AH11">
            <v>49</v>
          </cell>
          <cell r="AK11">
            <v>35</v>
          </cell>
          <cell r="AL11">
            <v>208</v>
          </cell>
        </row>
        <row r="12">
          <cell r="AB12" t="str">
            <v>SEP</v>
          </cell>
          <cell r="AC12">
            <v>22</v>
          </cell>
          <cell r="AK12">
            <v>56</v>
          </cell>
          <cell r="AL12">
            <v>78</v>
          </cell>
        </row>
        <row r="13">
          <cell r="AB13" t="str">
            <v>OCT</v>
          </cell>
          <cell r="AG13">
            <v>13</v>
          </cell>
          <cell r="AH13">
            <v>103</v>
          </cell>
          <cell r="AK13">
            <v>83</v>
          </cell>
          <cell r="AL13">
            <v>199</v>
          </cell>
        </row>
        <row r="14">
          <cell r="AB14" t="str">
            <v>NOV</v>
          </cell>
          <cell r="AC14">
            <v>95</v>
          </cell>
          <cell r="AD14">
            <v>33</v>
          </cell>
          <cell r="AH14">
            <v>90</v>
          </cell>
          <cell r="AK14">
            <v>7</v>
          </cell>
          <cell r="AL14">
            <v>225</v>
          </cell>
        </row>
        <row r="15">
          <cell r="AB15" t="str">
            <v>DIC</v>
          </cell>
          <cell r="AC15">
            <v>33</v>
          </cell>
          <cell r="AG15">
            <v>10</v>
          </cell>
          <cell r="AH15">
            <v>30</v>
          </cell>
          <cell r="AK15">
            <v>106</v>
          </cell>
          <cell r="AL15">
            <v>179</v>
          </cell>
        </row>
        <row r="18">
          <cell r="AC18" t="str">
            <v>L-162</v>
          </cell>
          <cell r="AD18" t="str">
            <v>L-183</v>
          </cell>
          <cell r="AE18" t="str">
            <v>L-184</v>
          </cell>
          <cell r="AF18" t="str">
            <v>L-610</v>
          </cell>
          <cell r="AG18" t="str">
            <v>L-672</v>
          </cell>
          <cell r="AH18" t="str">
            <v>L-721</v>
          </cell>
          <cell r="AI18" t="str">
            <v>L-722</v>
          </cell>
          <cell r="AJ18" t="str">
            <v>L-723</v>
          </cell>
          <cell r="AK18" t="str">
            <v>L-737</v>
          </cell>
          <cell r="AL18" t="str">
            <v>Total</v>
          </cell>
          <cell r="AM18" t="str">
            <v>Min. Promedio 2025</v>
          </cell>
        </row>
        <row r="19">
          <cell r="AB19" t="str">
            <v>ENE</v>
          </cell>
          <cell r="AC19">
            <v>16</v>
          </cell>
          <cell r="AG19">
            <v>32</v>
          </cell>
          <cell r="AH19">
            <v>14</v>
          </cell>
          <cell r="AK19">
            <v>44</v>
          </cell>
          <cell r="AL19">
            <v>106</v>
          </cell>
          <cell r="AM19">
            <v>122</v>
          </cell>
        </row>
        <row r="20">
          <cell r="AB20" t="str">
            <v>FEB</v>
          </cell>
          <cell r="AH20">
            <v>33</v>
          </cell>
          <cell r="AI20">
            <v>42</v>
          </cell>
          <cell r="AL20">
            <v>75</v>
          </cell>
          <cell r="AM20">
            <v>122</v>
          </cell>
        </row>
        <row r="21">
          <cell r="AB21" t="str">
            <v>MAR</v>
          </cell>
          <cell r="AD21">
            <v>58</v>
          </cell>
          <cell r="AG21">
            <v>66</v>
          </cell>
          <cell r="AL21">
            <v>124</v>
          </cell>
          <cell r="AM21">
            <v>122</v>
          </cell>
        </row>
        <row r="22">
          <cell r="C22" t="str">
            <v>ENE</v>
          </cell>
          <cell r="D22" t="str">
            <v>FEB</v>
          </cell>
          <cell r="E22" t="str">
            <v>MAR</v>
          </cell>
          <cell r="F22" t="str">
            <v>ABR</v>
          </cell>
          <cell r="G22" t="str">
            <v>MAY</v>
          </cell>
          <cell r="H22" t="str">
            <v>JUN</v>
          </cell>
          <cell r="I22" t="str">
            <v>JUL</v>
          </cell>
          <cell r="J22" t="str">
            <v>AGO</v>
          </cell>
          <cell r="K22" t="str">
            <v>SEP</v>
          </cell>
          <cell r="L22" t="str">
            <v>OCT</v>
          </cell>
          <cell r="M22" t="str">
            <v>NOV</v>
          </cell>
          <cell r="N22" t="str">
            <v>DIC</v>
          </cell>
        </row>
        <row r="23">
          <cell r="B23" t="str">
            <v>Materials are not requested on time</v>
          </cell>
          <cell r="C23">
            <v>257</v>
          </cell>
          <cell r="D23">
            <v>108</v>
          </cell>
          <cell r="E23">
            <v>12</v>
          </cell>
          <cell r="F23">
            <v>120</v>
          </cell>
          <cell r="G23">
            <v>76</v>
          </cell>
          <cell r="H23">
            <v>0</v>
          </cell>
          <cell r="I23">
            <v>0</v>
          </cell>
          <cell r="J23">
            <v>208</v>
          </cell>
          <cell r="K23">
            <v>78</v>
          </cell>
          <cell r="L23">
            <v>199</v>
          </cell>
          <cell r="M23">
            <v>225</v>
          </cell>
          <cell r="N23">
            <v>179</v>
          </cell>
          <cell r="O23">
            <v>1462</v>
          </cell>
        </row>
        <row r="24">
          <cell r="B24" t="str">
            <v>The warehouse is not delivering supplies on time</v>
          </cell>
          <cell r="C24">
            <v>44</v>
          </cell>
          <cell r="D24">
            <v>15</v>
          </cell>
          <cell r="E24">
            <v>97</v>
          </cell>
          <cell r="F24">
            <v>128</v>
          </cell>
          <cell r="G24">
            <v>109</v>
          </cell>
          <cell r="H24">
            <v>51</v>
          </cell>
          <cell r="I24">
            <v>0</v>
          </cell>
          <cell r="J24">
            <v>22</v>
          </cell>
          <cell r="K24">
            <v>108</v>
          </cell>
          <cell r="L24">
            <v>146</v>
          </cell>
          <cell r="M24">
            <v>102</v>
          </cell>
          <cell r="N24">
            <v>171</v>
          </cell>
          <cell r="O24">
            <v>993</v>
          </cell>
          <cell r="AC24" t="str">
            <v>Total</v>
          </cell>
        </row>
        <row r="25">
          <cell r="B25" t="str">
            <v>Shortage of supplies - Internal logistics</v>
          </cell>
          <cell r="C25">
            <v>0</v>
          </cell>
          <cell r="D25">
            <v>56</v>
          </cell>
          <cell r="E25">
            <v>0</v>
          </cell>
          <cell r="F25">
            <v>7</v>
          </cell>
          <cell r="G25">
            <v>46</v>
          </cell>
          <cell r="H25">
            <v>45</v>
          </cell>
          <cell r="I25">
            <v>73</v>
          </cell>
          <cell r="J25">
            <v>12</v>
          </cell>
          <cell r="K25">
            <v>18</v>
          </cell>
          <cell r="L25">
            <v>16</v>
          </cell>
          <cell r="M25">
            <v>53</v>
          </cell>
          <cell r="N25">
            <v>53</v>
          </cell>
          <cell r="O25">
            <v>379</v>
          </cell>
          <cell r="AB25" t="str">
            <v>L-721</v>
          </cell>
          <cell r="AC25">
            <v>589</v>
          </cell>
        </row>
        <row r="26">
          <cell r="B26" t="str">
            <v>Total</v>
          </cell>
          <cell r="C26">
            <v>301</v>
          </cell>
          <cell r="D26">
            <v>179</v>
          </cell>
          <cell r="E26">
            <v>109</v>
          </cell>
          <cell r="F26">
            <v>255</v>
          </cell>
          <cell r="G26">
            <v>231</v>
          </cell>
          <cell r="H26">
            <v>96</v>
          </cell>
          <cell r="I26">
            <v>73</v>
          </cell>
          <cell r="J26">
            <v>242</v>
          </cell>
          <cell r="K26">
            <v>204</v>
          </cell>
          <cell r="L26">
            <v>361</v>
          </cell>
          <cell r="M26">
            <v>380</v>
          </cell>
          <cell r="N26">
            <v>403</v>
          </cell>
          <cell r="AB26" t="str">
            <v>L-737</v>
          </cell>
          <cell r="AC26">
            <v>455</v>
          </cell>
        </row>
        <row r="27">
          <cell r="AB27" t="str">
            <v>L-162</v>
          </cell>
          <cell r="AC27">
            <v>275</v>
          </cell>
        </row>
        <row r="28">
          <cell r="AB28" t="str">
            <v>L-183</v>
          </cell>
          <cell r="AC28">
            <v>85</v>
          </cell>
        </row>
        <row r="29">
          <cell r="AB29" t="str">
            <v>L-184</v>
          </cell>
          <cell r="AC29">
            <v>35</v>
          </cell>
        </row>
        <row r="30">
          <cell r="AB30" t="str">
            <v>L-672</v>
          </cell>
          <cell r="AC30">
            <v>23</v>
          </cell>
        </row>
        <row r="31">
          <cell r="AB31" t="str">
            <v>L-610</v>
          </cell>
        </row>
        <row r="32">
          <cell r="AB32" t="str">
            <v>L-722</v>
          </cell>
        </row>
        <row r="33">
          <cell r="AB33" t="str">
            <v>L-723</v>
          </cell>
        </row>
        <row r="40">
          <cell r="AB40" t="str">
            <v>L-672</v>
          </cell>
          <cell r="AC40">
            <v>82</v>
          </cell>
        </row>
        <row r="41">
          <cell r="AB41" t="str">
            <v>L-183</v>
          </cell>
          <cell r="AC41">
            <v>58</v>
          </cell>
        </row>
        <row r="42">
          <cell r="AB42" t="str">
            <v>L-721</v>
          </cell>
          <cell r="AC42">
            <v>47</v>
          </cell>
        </row>
        <row r="43">
          <cell r="AB43" t="str">
            <v>L-737</v>
          </cell>
          <cell r="AC43">
            <v>44</v>
          </cell>
        </row>
        <row r="44">
          <cell r="AB44" t="str">
            <v>L-722</v>
          </cell>
          <cell r="AC44">
            <v>42</v>
          </cell>
        </row>
        <row r="45">
          <cell r="AB45" t="str">
            <v>L-162</v>
          </cell>
          <cell r="AC45">
            <v>16</v>
          </cell>
        </row>
        <row r="46">
          <cell r="AB46" t="str">
            <v>L-184</v>
          </cell>
        </row>
        <row r="47">
          <cell r="AB47" t="str">
            <v>L-610</v>
          </cell>
        </row>
        <row r="48">
          <cell r="AB48" t="str">
            <v>L-723</v>
          </cell>
        </row>
        <row r="49">
          <cell r="AB49" t="str">
            <v>L-708</v>
          </cell>
        </row>
      </sheetData>
      <sheetData sheetId="2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C0AE0D-AFDC-43AC-BD27-788FF112708A}" name="Table6" displayName="Table6" ref="AB24:AC34" totalsRowShown="0" tableBorderDxfId="3">
  <autoFilter ref="AB24:AC34" xr:uid="{ACC178F2-7897-474F-8381-A619FE4A2CFE}"/>
  <sortState xmlns:xlrd2="http://schemas.microsoft.com/office/spreadsheetml/2017/richdata2" ref="AB25:AC34">
    <sortCondition descending="1" ref="AC24:AC34"/>
  </sortState>
  <tableColumns count="2">
    <tableColumn id="1" xr3:uid="{F4F4F8EB-2494-4E92-BAC1-B053687C99A8}" name="Línea" dataDxfId="2"/>
    <tableColumn id="2" xr3:uid="{BF98CD8B-1B4F-4807-8009-4D87678DB912}" name="Tot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4941C3-6D69-4E09-AA42-348D97D0FD4F}" name="Table7" displayName="Table7" ref="AB39:AC49" totalsRowShown="0" tableBorderDxfId="1">
  <autoFilter ref="AB39:AC49" xr:uid="{3415FC2F-58A3-4DC6-BDC3-F233C10D8DB2}"/>
  <sortState xmlns:xlrd2="http://schemas.microsoft.com/office/spreadsheetml/2017/richdata2" ref="AB40:AC48">
    <sortCondition descending="1" ref="AC39:AC48"/>
  </sortState>
  <tableColumns count="2">
    <tableColumn id="1" xr3:uid="{11FA0874-506B-4C5B-994B-1A5CB80F1589}" name="Línea" dataDxfId="0"/>
    <tableColumn id="2" xr3:uid="{482BC42D-D593-42BC-8448-F2CB810C5041}" name="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446E6-B118-4A9E-A278-E871175A5D68}">
  <dimension ref="B2:AN59"/>
  <sheetViews>
    <sheetView tabSelected="1" zoomScale="70" zoomScaleNormal="100" workbookViewId="0">
      <selection activeCell="AO37" sqref="AO37"/>
    </sheetView>
  </sheetViews>
  <sheetFormatPr defaultRowHeight="14.4" x14ac:dyDescent="0.3"/>
  <cols>
    <col min="2" max="2" width="44.44140625" bestFit="1" customWidth="1"/>
    <col min="3" max="6" width="13.77734375" customWidth="1"/>
    <col min="7" max="7" width="12.5546875" bestFit="1" customWidth="1"/>
    <col min="8" max="8" width="16.109375" bestFit="1" customWidth="1"/>
    <col min="9" max="9" width="13.77734375" bestFit="1" customWidth="1"/>
    <col min="10" max="10" width="15" customWidth="1"/>
    <col min="11" max="11" width="14.33203125" bestFit="1" customWidth="1"/>
    <col min="12" max="12" width="10.88671875" bestFit="1" customWidth="1"/>
    <col min="13" max="13" width="8.44140625" bestFit="1" customWidth="1"/>
    <col min="14" max="14" width="8.44140625" customWidth="1"/>
    <col min="28" max="28" width="11.6640625" bestFit="1" customWidth="1"/>
    <col min="29" max="29" width="8.77734375" customWidth="1"/>
    <col min="30" max="38" width="5.88671875" bestFit="1" customWidth="1"/>
  </cols>
  <sheetData>
    <row r="2" spans="2:39" x14ac:dyDescent="0.3">
      <c r="AC2" s="1" t="s">
        <v>0</v>
      </c>
      <c r="AD2" s="1"/>
      <c r="AE2" s="1"/>
      <c r="AF2" s="1"/>
      <c r="AG2" s="1"/>
      <c r="AH2" s="1"/>
      <c r="AI2" s="1"/>
      <c r="AJ2" s="1"/>
      <c r="AK2" s="1"/>
      <c r="AL2" s="1"/>
    </row>
    <row r="3" spans="2:39" x14ac:dyDescent="0.3">
      <c r="AB3" s="2" t="s">
        <v>1</v>
      </c>
      <c r="AC3" s="3" t="s">
        <v>2</v>
      </c>
      <c r="AD3" s="3" t="s">
        <v>3</v>
      </c>
      <c r="AE3" s="3" t="s">
        <v>4</v>
      </c>
      <c r="AF3" s="3" t="s">
        <v>5</v>
      </c>
      <c r="AG3" s="3" t="s">
        <v>6</v>
      </c>
      <c r="AH3" s="3" t="s">
        <v>7</v>
      </c>
      <c r="AI3" s="3" t="s">
        <v>8</v>
      </c>
      <c r="AJ3" s="3" t="s">
        <v>9</v>
      </c>
      <c r="AK3" s="3" t="s">
        <v>10</v>
      </c>
      <c r="AL3" s="4" t="s">
        <v>11</v>
      </c>
      <c r="AM3" s="4" t="s">
        <v>11</v>
      </c>
    </row>
    <row r="4" spans="2:39" x14ac:dyDescent="0.3">
      <c r="AB4" s="5" t="s">
        <v>12</v>
      </c>
      <c r="AC4" s="6">
        <v>36</v>
      </c>
      <c r="AD4" s="6"/>
      <c r="AE4" s="6"/>
      <c r="AF4" s="6"/>
      <c r="AG4" s="6"/>
      <c r="AH4" s="6">
        <v>157</v>
      </c>
      <c r="AI4" s="6"/>
      <c r="AJ4" s="6"/>
      <c r="AK4" s="6">
        <v>64</v>
      </c>
      <c r="AL4" s="4">
        <f>SUM(AC4:AK4)</f>
        <v>257</v>
      </c>
      <c r="AM4" s="4">
        <f>SUM(AC4:AK4)</f>
        <v>257</v>
      </c>
    </row>
    <row r="5" spans="2:39" x14ac:dyDescent="0.3">
      <c r="AB5" s="7" t="s">
        <v>13</v>
      </c>
      <c r="AC5" s="6"/>
      <c r="AD5" s="6"/>
      <c r="AE5" s="6"/>
      <c r="AF5" s="6"/>
      <c r="AG5" s="6"/>
      <c r="AH5" s="6">
        <f>65+11</f>
        <v>76</v>
      </c>
      <c r="AI5" s="6"/>
      <c r="AJ5" s="6"/>
      <c r="AK5" s="6">
        <v>32</v>
      </c>
      <c r="AL5" s="4">
        <f>SUM(AC5:AK5)</f>
        <v>108</v>
      </c>
      <c r="AM5" s="4">
        <f t="shared" ref="AM5:AM15" si="0">SUM(AC5:AK5)</f>
        <v>108</v>
      </c>
    </row>
    <row r="6" spans="2:39" x14ac:dyDescent="0.3">
      <c r="R6" s="8"/>
      <c r="S6" s="8" t="s">
        <v>14</v>
      </c>
      <c r="T6" s="8" t="s">
        <v>15</v>
      </c>
      <c r="U6" s="8" t="s">
        <v>16</v>
      </c>
      <c r="V6" t="s">
        <v>17</v>
      </c>
      <c r="W6" t="s">
        <v>18</v>
      </c>
      <c r="X6" t="s">
        <v>19</v>
      </c>
      <c r="Y6" t="s">
        <v>20</v>
      </c>
      <c r="AB6" s="9" t="s">
        <v>21</v>
      </c>
      <c r="AC6" s="6"/>
      <c r="AD6" s="6"/>
      <c r="AE6" s="6"/>
      <c r="AF6" s="6"/>
      <c r="AG6" s="6"/>
      <c r="AH6" s="6"/>
      <c r="AI6" s="6"/>
      <c r="AJ6" s="6"/>
      <c r="AK6" s="6">
        <v>12</v>
      </c>
      <c r="AL6" s="4">
        <f>SUM(AC6:AK6)</f>
        <v>12</v>
      </c>
      <c r="AM6" s="4">
        <f t="shared" si="0"/>
        <v>12</v>
      </c>
    </row>
    <row r="7" spans="2:39" x14ac:dyDescent="0.3">
      <c r="B7" s="4" t="s">
        <v>22</v>
      </c>
      <c r="C7" s="4" t="s">
        <v>23</v>
      </c>
      <c r="D7" s="4" t="s">
        <v>24</v>
      </c>
      <c r="E7" s="4" t="s">
        <v>25</v>
      </c>
      <c r="F7" s="4" t="s">
        <v>26</v>
      </c>
      <c r="G7" s="6" t="s">
        <v>27</v>
      </c>
      <c r="H7" s="6" t="s">
        <v>28</v>
      </c>
      <c r="I7" s="6" t="s">
        <v>29</v>
      </c>
      <c r="J7" s="6" t="s">
        <v>30</v>
      </c>
      <c r="K7" s="6" t="s">
        <v>31</v>
      </c>
      <c r="L7" s="6" t="s">
        <v>32</v>
      </c>
      <c r="M7" s="6" t="s">
        <v>33</v>
      </c>
      <c r="N7" s="10"/>
      <c r="O7" s="11"/>
      <c r="R7" s="8" t="s">
        <v>34</v>
      </c>
      <c r="S7">
        <f t="shared" ref="S7:Y7" si="1">G12</f>
        <v>242</v>
      </c>
      <c r="T7">
        <f t="shared" si="1"/>
        <v>204</v>
      </c>
      <c r="U7">
        <f t="shared" si="1"/>
        <v>361</v>
      </c>
      <c r="V7">
        <f t="shared" si="1"/>
        <v>380</v>
      </c>
      <c r="W7">
        <f t="shared" si="1"/>
        <v>403</v>
      </c>
      <c r="X7">
        <f t="shared" si="1"/>
        <v>184</v>
      </c>
      <c r="Y7">
        <f t="shared" si="1"/>
        <v>549</v>
      </c>
      <c r="AB7" s="9" t="s">
        <v>35</v>
      </c>
      <c r="AC7" s="6"/>
      <c r="AD7" s="6"/>
      <c r="AE7" s="6"/>
      <c r="AF7" s="6"/>
      <c r="AG7" s="6"/>
      <c r="AH7" s="6">
        <v>60</v>
      </c>
      <c r="AI7" s="6"/>
      <c r="AJ7" s="6"/>
      <c r="AK7" s="6">
        <v>60</v>
      </c>
      <c r="AL7" s="4">
        <f>SUM(AC7:AK7)</f>
        <v>120</v>
      </c>
      <c r="AM7" s="4">
        <f t="shared" si="0"/>
        <v>120</v>
      </c>
    </row>
    <row r="8" spans="2:39" x14ac:dyDescent="0.3">
      <c r="B8" s="12" t="s">
        <v>0</v>
      </c>
      <c r="C8" s="4">
        <v>60</v>
      </c>
      <c r="D8" s="4"/>
      <c r="E8" s="4"/>
      <c r="F8" s="4"/>
      <c r="G8" s="4">
        <v>35</v>
      </c>
      <c r="H8" s="4">
        <v>56</v>
      </c>
      <c r="I8" s="4">
        <v>96</v>
      </c>
      <c r="J8" s="4">
        <v>38</v>
      </c>
      <c r="K8" s="4">
        <v>136</v>
      </c>
      <c r="L8" s="4">
        <v>89</v>
      </c>
      <c r="M8" s="4">
        <f>42+33</f>
        <v>75</v>
      </c>
      <c r="N8" s="8"/>
      <c r="R8" s="13" t="s">
        <v>36</v>
      </c>
      <c r="S8">
        <f t="shared" ref="S8:Y8" si="2">G56</f>
        <v>0</v>
      </c>
      <c r="T8">
        <f t="shared" si="2"/>
        <v>0</v>
      </c>
      <c r="U8">
        <f t="shared" si="2"/>
        <v>0</v>
      </c>
      <c r="V8">
        <f t="shared" si="2"/>
        <v>102</v>
      </c>
      <c r="W8">
        <f t="shared" si="2"/>
        <v>9</v>
      </c>
      <c r="X8">
        <f t="shared" si="2"/>
        <v>42</v>
      </c>
      <c r="Y8">
        <f t="shared" si="2"/>
        <v>15</v>
      </c>
      <c r="AB8" s="9" t="s">
        <v>37</v>
      </c>
      <c r="AC8" s="6"/>
      <c r="AD8" s="6">
        <v>42</v>
      </c>
      <c r="AE8" s="6">
        <v>10</v>
      </c>
      <c r="AF8" s="6"/>
      <c r="AG8" s="6"/>
      <c r="AH8" s="6">
        <v>24</v>
      </c>
      <c r="AI8" s="6"/>
      <c r="AJ8" s="6"/>
      <c r="AK8" s="6"/>
      <c r="AL8" s="4">
        <f>SUM(AC8:AK8)</f>
        <v>76</v>
      </c>
      <c r="AM8" s="4">
        <f t="shared" si="0"/>
        <v>76</v>
      </c>
    </row>
    <row r="9" spans="2:39" x14ac:dyDescent="0.3">
      <c r="B9" s="14" t="s">
        <v>38</v>
      </c>
      <c r="C9" s="4">
        <f>47+34+32+15</f>
        <v>128</v>
      </c>
      <c r="D9" s="4">
        <f>36+27+23+13+10</f>
        <v>109</v>
      </c>
      <c r="E9" s="4">
        <f>39+12</f>
        <v>51</v>
      </c>
      <c r="F9" s="4"/>
      <c r="G9" s="4">
        <v>22</v>
      </c>
      <c r="H9" s="4">
        <f>15+11+9+73</f>
        <v>108</v>
      </c>
      <c r="I9" s="4">
        <f>45+16+85</f>
        <v>146</v>
      </c>
      <c r="J9" s="4">
        <f>60+42</f>
        <v>102</v>
      </c>
      <c r="K9" s="4">
        <f>24+82+65</f>
        <v>171</v>
      </c>
      <c r="L9" s="4">
        <v>50</v>
      </c>
      <c r="M9" s="4">
        <f>39+7</f>
        <v>46</v>
      </c>
      <c r="N9" s="8"/>
      <c r="R9" t="s">
        <v>11</v>
      </c>
      <c r="S9">
        <f t="shared" ref="S9:U9" si="3">SUM(S7:S8)</f>
        <v>242</v>
      </c>
      <c r="T9">
        <f t="shared" si="3"/>
        <v>204</v>
      </c>
      <c r="U9">
        <f t="shared" si="3"/>
        <v>361</v>
      </c>
      <c r="V9">
        <f>SUM(V7:V8)</f>
        <v>482</v>
      </c>
      <c r="W9">
        <f t="shared" ref="W9:Y9" si="4">SUM(W7:W8)</f>
        <v>412</v>
      </c>
      <c r="X9">
        <f t="shared" si="4"/>
        <v>226</v>
      </c>
      <c r="Y9">
        <f t="shared" si="4"/>
        <v>564</v>
      </c>
      <c r="AB9" s="9" t="s">
        <v>39</v>
      </c>
      <c r="AC9" s="6"/>
      <c r="AD9" s="6"/>
      <c r="AE9" s="6"/>
      <c r="AF9" s="6"/>
      <c r="AG9" s="6"/>
      <c r="AH9" s="6"/>
      <c r="AI9" s="6"/>
      <c r="AJ9" s="6"/>
      <c r="AK9" s="6"/>
      <c r="AL9" s="4"/>
      <c r="AM9" s="4">
        <f t="shared" si="0"/>
        <v>0</v>
      </c>
    </row>
    <row r="10" spans="2:39" x14ac:dyDescent="0.3">
      <c r="B10" s="15" t="s">
        <v>40</v>
      </c>
      <c r="C10" s="4">
        <v>7</v>
      </c>
      <c r="D10" s="4">
        <v>46</v>
      </c>
      <c r="E10" s="4">
        <v>45</v>
      </c>
      <c r="F10" s="4">
        <v>73</v>
      </c>
      <c r="G10" s="4">
        <v>12</v>
      </c>
      <c r="H10" s="4">
        <v>18</v>
      </c>
      <c r="I10" s="4">
        <v>16</v>
      </c>
      <c r="J10" s="4">
        <f>53</f>
        <v>53</v>
      </c>
      <c r="K10" s="4">
        <v>53</v>
      </c>
      <c r="L10" s="4">
        <v>29</v>
      </c>
      <c r="M10" s="4">
        <v>428</v>
      </c>
      <c r="N10" s="8"/>
      <c r="P10" s="8"/>
      <c r="Q10" s="8"/>
      <c r="R10" s="8"/>
      <c r="S10" s="8"/>
      <c r="AB10" s="9" t="s">
        <v>41</v>
      </c>
      <c r="AC10" s="6"/>
      <c r="AD10" s="6"/>
      <c r="AE10" s="6"/>
      <c r="AF10" s="6"/>
      <c r="AG10" s="6"/>
      <c r="AH10" s="6"/>
      <c r="AI10" s="6"/>
      <c r="AJ10" s="6"/>
      <c r="AK10" s="6"/>
      <c r="AL10" s="4"/>
      <c r="AM10" s="4">
        <f t="shared" si="0"/>
        <v>0</v>
      </c>
    </row>
    <row r="11" spans="2:39" x14ac:dyDescent="0.3">
      <c r="B11" s="16" t="s">
        <v>42</v>
      </c>
      <c r="C11" s="4">
        <v>60</v>
      </c>
      <c r="D11" s="4">
        <v>76</v>
      </c>
      <c r="E11" s="4"/>
      <c r="F11" s="4"/>
      <c r="G11" s="4">
        <f>89+84</f>
        <v>173</v>
      </c>
      <c r="H11" s="4">
        <v>22</v>
      </c>
      <c r="I11" s="4">
        <v>103</v>
      </c>
      <c r="J11" s="4">
        <f>95+92</f>
        <v>187</v>
      </c>
      <c r="K11" s="4">
        <f>33+10</f>
        <v>43</v>
      </c>
      <c r="L11" s="4">
        <v>16</v>
      </c>
      <c r="M11" s="4"/>
      <c r="N11" s="8"/>
      <c r="AB11" s="7" t="s">
        <v>43</v>
      </c>
      <c r="AC11" s="6">
        <v>89</v>
      </c>
      <c r="AD11" s="6">
        <v>10</v>
      </c>
      <c r="AE11" s="6">
        <v>25</v>
      </c>
      <c r="AF11" s="6"/>
      <c r="AG11" s="6"/>
      <c r="AH11" s="6">
        <v>49</v>
      </c>
      <c r="AI11" s="6"/>
      <c r="AJ11" s="6"/>
      <c r="AK11" s="6">
        <v>35</v>
      </c>
      <c r="AL11" s="4">
        <f>SUM(AC11:AK11)</f>
        <v>208</v>
      </c>
      <c r="AM11" s="4">
        <f t="shared" si="0"/>
        <v>208</v>
      </c>
    </row>
    <row r="12" spans="2:39" x14ac:dyDescent="0.3">
      <c r="B12" s="4" t="s">
        <v>44</v>
      </c>
      <c r="C12" s="4"/>
      <c r="D12" s="4"/>
      <c r="E12" s="4"/>
      <c r="F12" s="4"/>
      <c r="G12" s="4">
        <f t="shared" ref="G12:M12" si="5">SUM(G8:G11)</f>
        <v>242</v>
      </c>
      <c r="H12" s="4">
        <f t="shared" si="5"/>
        <v>204</v>
      </c>
      <c r="I12" s="4">
        <f t="shared" si="5"/>
        <v>361</v>
      </c>
      <c r="J12" s="4">
        <f t="shared" si="5"/>
        <v>380</v>
      </c>
      <c r="K12" s="4">
        <f t="shared" si="5"/>
        <v>403</v>
      </c>
      <c r="L12" s="4">
        <f t="shared" si="5"/>
        <v>184</v>
      </c>
      <c r="M12" s="4">
        <f t="shared" si="5"/>
        <v>549</v>
      </c>
      <c r="N12" s="8"/>
      <c r="AB12" s="9" t="s">
        <v>45</v>
      </c>
      <c r="AC12" s="6">
        <v>22</v>
      </c>
      <c r="AD12" s="6"/>
      <c r="AE12" s="6"/>
      <c r="AF12" s="6"/>
      <c r="AG12" s="6"/>
      <c r="AH12" s="6"/>
      <c r="AI12" s="6"/>
      <c r="AJ12" s="6"/>
      <c r="AK12" s="6">
        <v>56</v>
      </c>
      <c r="AL12" s="4">
        <f>SUM(AC12:AK12)</f>
        <v>78</v>
      </c>
      <c r="AM12" s="4">
        <f t="shared" si="0"/>
        <v>78</v>
      </c>
    </row>
    <row r="13" spans="2:39" x14ac:dyDescent="0.3">
      <c r="AB13" s="7" t="s">
        <v>46</v>
      </c>
      <c r="AC13" s="6"/>
      <c r="AD13" s="6"/>
      <c r="AE13" s="6"/>
      <c r="AF13" s="6"/>
      <c r="AG13" s="6">
        <v>13</v>
      </c>
      <c r="AH13" s="6">
        <v>103</v>
      </c>
      <c r="AI13" s="6"/>
      <c r="AJ13" s="6"/>
      <c r="AK13" s="6">
        <v>83</v>
      </c>
      <c r="AL13" s="4">
        <f>SUM(AC13:AK13)</f>
        <v>199</v>
      </c>
      <c r="AM13" s="4">
        <f t="shared" si="0"/>
        <v>199</v>
      </c>
    </row>
    <row r="14" spans="2:39" x14ac:dyDescent="0.3">
      <c r="AB14" s="9" t="s">
        <v>47</v>
      </c>
      <c r="AC14" s="6">
        <v>95</v>
      </c>
      <c r="AD14" s="6">
        <v>33</v>
      </c>
      <c r="AE14" s="6"/>
      <c r="AF14" s="6"/>
      <c r="AG14" s="6"/>
      <c r="AH14" s="6">
        <f>31+59</f>
        <v>90</v>
      </c>
      <c r="AI14" s="6"/>
      <c r="AJ14" s="6"/>
      <c r="AK14" s="6">
        <v>7</v>
      </c>
      <c r="AL14" s="4">
        <f>SUM(AC14:AK14)</f>
        <v>225</v>
      </c>
      <c r="AM14" s="4">
        <f t="shared" si="0"/>
        <v>225</v>
      </c>
    </row>
    <row r="15" spans="2:39" x14ac:dyDescent="0.3">
      <c r="B15" s="4" t="s">
        <v>22</v>
      </c>
      <c r="C15" s="4" t="s">
        <v>23</v>
      </c>
      <c r="D15" s="4" t="s">
        <v>24</v>
      </c>
      <c r="E15" s="4" t="s">
        <v>25</v>
      </c>
      <c r="F15" s="4" t="s">
        <v>26</v>
      </c>
      <c r="G15" s="6" t="s">
        <v>27</v>
      </c>
      <c r="H15" s="6" t="s">
        <v>28</v>
      </c>
      <c r="I15" s="6" t="s">
        <v>29</v>
      </c>
      <c r="J15" s="6" t="s">
        <v>30</v>
      </c>
      <c r="K15" s="6" t="s">
        <v>31</v>
      </c>
      <c r="L15" s="6" t="s">
        <v>32</v>
      </c>
      <c r="M15" s="6" t="s">
        <v>33</v>
      </c>
      <c r="N15" s="10" t="s">
        <v>48</v>
      </c>
      <c r="O15" t="s">
        <v>11</v>
      </c>
      <c r="AB15" s="9" t="s">
        <v>49</v>
      </c>
      <c r="AC15" s="6">
        <v>33</v>
      </c>
      <c r="AD15" s="6"/>
      <c r="AE15" s="6"/>
      <c r="AF15" s="6"/>
      <c r="AG15" s="6">
        <v>10</v>
      </c>
      <c r="AH15" s="6">
        <v>30</v>
      </c>
      <c r="AI15" s="6"/>
      <c r="AJ15" s="6"/>
      <c r="AK15" s="6">
        <v>106</v>
      </c>
      <c r="AL15" s="4">
        <f>SUM(AC15:AK15)</f>
        <v>179</v>
      </c>
      <c r="AM15" s="4">
        <f t="shared" si="0"/>
        <v>179</v>
      </c>
    </row>
    <row r="16" spans="2:39" x14ac:dyDescent="0.3">
      <c r="B16" s="12" t="s">
        <v>0</v>
      </c>
      <c r="C16">
        <f t="shared" ref="C16:F16" si="6">C8+C11</f>
        <v>120</v>
      </c>
      <c r="D16">
        <f t="shared" si="6"/>
        <v>76</v>
      </c>
      <c r="E16">
        <f t="shared" si="6"/>
        <v>0</v>
      </c>
      <c r="F16">
        <f t="shared" si="6"/>
        <v>0</v>
      </c>
      <c r="G16">
        <f>G8+G11</f>
        <v>208</v>
      </c>
      <c r="H16">
        <f t="shared" ref="H16:M16" si="7">H8+H11</f>
        <v>78</v>
      </c>
      <c r="I16">
        <f t="shared" si="7"/>
        <v>199</v>
      </c>
      <c r="J16">
        <f t="shared" si="7"/>
        <v>225</v>
      </c>
      <c r="K16">
        <f t="shared" si="7"/>
        <v>179</v>
      </c>
      <c r="L16">
        <f t="shared" si="7"/>
        <v>105</v>
      </c>
      <c r="M16">
        <f t="shared" si="7"/>
        <v>75</v>
      </c>
      <c r="N16">
        <v>81</v>
      </c>
      <c r="O16">
        <f>SUM(C16:N16)</f>
        <v>1346</v>
      </c>
      <c r="AB16" s="9" t="s">
        <v>11</v>
      </c>
      <c r="AC16" s="6">
        <f>SUM(AC4:AC15)</f>
        <v>275</v>
      </c>
      <c r="AD16" s="6">
        <f t="shared" ref="AD16:AK16" si="8">SUM(AD4:AD15)</f>
        <v>85</v>
      </c>
      <c r="AE16" s="6">
        <f t="shared" si="8"/>
        <v>35</v>
      </c>
      <c r="AF16" s="6">
        <f t="shared" si="8"/>
        <v>0</v>
      </c>
      <c r="AG16" s="6">
        <f t="shared" si="8"/>
        <v>23</v>
      </c>
      <c r="AH16" s="6">
        <f t="shared" si="8"/>
        <v>589</v>
      </c>
      <c r="AI16" s="6">
        <f t="shared" si="8"/>
        <v>0</v>
      </c>
      <c r="AJ16" s="6">
        <f t="shared" si="8"/>
        <v>0</v>
      </c>
      <c r="AK16" s="6">
        <f t="shared" si="8"/>
        <v>455</v>
      </c>
      <c r="AL16" s="4">
        <f>SUM(AL4:AL15)</f>
        <v>1462</v>
      </c>
      <c r="AM16" s="4">
        <f>SUM(AM4:AM15)</f>
        <v>1462</v>
      </c>
    </row>
    <row r="17" spans="2:40" x14ac:dyDescent="0.3">
      <c r="B17" s="12"/>
      <c r="U17">
        <v>2025</v>
      </c>
      <c r="V17">
        <v>122</v>
      </c>
      <c r="W17" t="s">
        <v>50</v>
      </c>
      <c r="AB17" s="8"/>
      <c r="AL17" s="8"/>
    </row>
    <row r="18" spans="2:40" x14ac:dyDescent="0.3">
      <c r="B18" s="14" t="s">
        <v>38</v>
      </c>
      <c r="C18">
        <f t="shared" ref="C18:F19" si="9">C9</f>
        <v>128</v>
      </c>
      <c r="D18">
        <f t="shared" si="9"/>
        <v>109</v>
      </c>
      <c r="E18">
        <f t="shared" si="9"/>
        <v>51</v>
      </c>
      <c r="F18">
        <f t="shared" si="9"/>
        <v>0</v>
      </c>
      <c r="G18">
        <f>G9</f>
        <v>22</v>
      </c>
      <c r="H18">
        <f t="shared" ref="H18:M19" si="10">H9</f>
        <v>108</v>
      </c>
      <c r="I18">
        <f t="shared" si="10"/>
        <v>146</v>
      </c>
      <c r="J18">
        <f t="shared" si="10"/>
        <v>102</v>
      </c>
      <c r="K18">
        <f t="shared" si="10"/>
        <v>171</v>
      </c>
      <c r="L18">
        <f t="shared" si="10"/>
        <v>50</v>
      </c>
      <c r="M18">
        <f t="shared" si="10"/>
        <v>46</v>
      </c>
      <c r="N18">
        <v>30</v>
      </c>
      <c r="O18">
        <f t="shared" ref="O18:O19" si="11">SUM(C18:N18)</f>
        <v>963</v>
      </c>
      <c r="U18">
        <v>2026</v>
      </c>
      <c r="V18">
        <v>96</v>
      </c>
      <c r="W18" t="s">
        <v>50</v>
      </c>
      <c r="AC18" s="3" t="s">
        <v>2</v>
      </c>
      <c r="AD18" s="3" t="s">
        <v>3</v>
      </c>
      <c r="AE18" s="3" t="s">
        <v>4</v>
      </c>
      <c r="AF18" s="3" t="s">
        <v>5</v>
      </c>
      <c r="AG18" s="3" t="s">
        <v>6</v>
      </c>
      <c r="AH18" s="3" t="s">
        <v>7</v>
      </c>
      <c r="AI18" s="3" t="s">
        <v>8</v>
      </c>
      <c r="AJ18" s="3" t="s">
        <v>9</v>
      </c>
      <c r="AK18" s="3" t="s">
        <v>10</v>
      </c>
      <c r="AL18" s="17" t="s">
        <v>11</v>
      </c>
      <c r="AM18" s="6" t="s">
        <v>51</v>
      </c>
    </row>
    <row r="19" spans="2:40" x14ac:dyDescent="0.3">
      <c r="B19" s="15" t="s">
        <v>40</v>
      </c>
      <c r="C19">
        <f t="shared" si="9"/>
        <v>7</v>
      </c>
      <c r="D19">
        <f t="shared" si="9"/>
        <v>46</v>
      </c>
      <c r="E19">
        <f t="shared" si="9"/>
        <v>45</v>
      </c>
      <c r="F19">
        <f t="shared" si="9"/>
        <v>73</v>
      </c>
      <c r="G19">
        <f>G10</f>
        <v>12</v>
      </c>
      <c r="H19">
        <f t="shared" si="10"/>
        <v>18</v>
      </c>
      <c r="I19">
        <f t="shared" si="10"/>
        <v>16</v>
      </c>
      <c r="J19">
        <f t="shared" si="10"/>
        <v>53</v>
      </c>
      <c r="K19">
        <f t="shared" si="10"/>
        <v>53</v>
      </c>
      <c r="L19">
        <f t="shared" si="10"/>
        <v>29</v>
      </c>
      <c r="M19">
        <f t="shared" si="10"/>
        <v>428</v>
      </c>
      <c r="N19">
        <v>307</v>
      </c>
      <c r="O19">
        <f t="shared" si="11"/>
        <v>1087</v>
      </c>
      <c r="AB19" s="9" t="s">
        <v>12</v>
      </c>
      <c r="AC19" s="6">
        <v>16</v>
      </c>
      <c r="AD19" s="6"/>
      <c r="AE19" s="6"/>
      <c r="AF19" s="6"/>
      <c r="AG19" s="6">
        <v>32</v>
      </c>
      <c r="AH19" s="6">
        <v>14</v>
      </c>
      <c r="AI19" s="6"/>
      <c r="AJ19" s="6"/>
      <c r="AK19" s="6">
        <v>44</v>
      </c>
      <c r="AL19" s="6">
        <f>SUM(AC19:AK19)</f>
        <v>106</v>
      </c>
      <c r="AM19" s="8">
        <v>122</v>
      </c>
      <c r="AN19" s="4">
        <f>AL19</f>
        <v>106</v>
      </c>
    </row>
    <row r="20" spans="2:40" x14ac:dyDescent="0.3">
      <c r="C20">
        <f>SUM(C16:C19)</f>
        <v>255</v>
      </c>
      <c r="D20">
        <f t="shared" ref="D20:N20" si="12">SUM(D16:D19)</f>
        <v>231</v>
      </c>
      <c r="E20">
        <f t="shared" si="12"/>
        <v>96</v>
      </c>
      <c r="F20">
        <f t="shared" si="12"/>
        <v>73</v>
      </c>
      <c r="G20">
        <f t="shared" si="12"/>
        <v>242</v>
      </c>
      <c r="H20">
        <f t="shared" si="12"/>
        <v>204</v>
      </c>
      <c r="I20">
        <f t="shared" si="12"/>
        <v>361</v>
      </c>
      <c r="J20">
        <f t="shared" si="12"/>
        <v>380</v>
      </c>
      <c r="K20">
        <f t="shared" si="12"/>
        <v>403</v>
      </c>
      <c r="L20">
        <f t="shared" si="12"/>
        <v>184</v>
      </c>
      <c r="M20">
        <f t="shared" si="12"/>
        <v>549</v>
      </c>
      <c r="N20">
        <f t="shared" si="12"/>
        <v>418</v>
      </c>
      <c r="O20">
        <f>SUM(O16:O19)</f>
        <v>3396</v>
      </c>
      <c r="AB20" s="9" t="s">
        <v>13</v>
      </c>
      <c r="AC20" s="3"/>
      <c r="AD20" s="3"/>
      <c r="AE20" s="3"/>
      <c r="AF20" s="3"/>
      <c r="AG20" s="3"/>
      <c r="AH20" s="3">
        <v>33</v>
      </c>
      <c r="AI20" s="3">
        <v>42</v>
      </c>
      <c r="AJ20" s="3"/>
      <c r="AK20" s="6"/>
      <c r="AL20" s="6">
        <f t="shared" ref="AL20:AL21" si="13">SUM(AC20:AK20)</f>
        <v>75</v>
      </c>
      <c r="AM20" s="4">
        <v>122</v>
      </c>
      <c r="AN20" s="4">
        <f t="shared" ref="AN20:AN21" si="14">AL20</f>
        <v>75</v>
      </c>
    </row>
    <row r="21" spans="2:40" x14ac:dyDescent="0.3">
      <c r="AB21" s="9" t="s">
        <v>21</v>
      </c>
      <c r="AC21" s="3"/>
      <c r="AD21" s="3">
        <v>58</v>
      </c>
      <c r="AE21" s="3"/>
      <c r="AF21" s="3"/>
      <c r="AG21" s="3">
        <f>27+39</f>
        <v>66</v>
      </c>
      <c r="AH21" s="3"/>
      <c r="AI21" s="3"/>
      <c r="AJ21" s="3"/>
      <c r="AK21" s="3"/>
      <c r="AL21" s="6">
        <f t="shared" si="13"/>
        <v>124</v>
      </c>
      <c r="AM21" s="4">
        <v>122</v>
      </c>
      <c r="AN21" s="4">
        <f t="shared" si="14"/>
        <v>124</v>
      </c>
    </row>
    <row r="22" spans="2:40" x14ac:dyDescent="0.3">
      <c r="B22" s="18" t="s">
        <v>22</v>
      </c>
      <c r="C22" s="19" t="s">
        <v>12</v>
      </c>
      <c r="D22" s="19" t="s">
        <v>13</v>
      </c>
      <c r="E22" s="19" t="s">
        <v>21</v>
      </c>
      <c r="F22" s="19" t="s">
        <v>35</v>
      </c>
      <c r="G22" s="19" t="s">
        <v>37</v>
      </c>
      <c r="H22" s="19" t="s">
        <v>39</v>
      </c>
      <c r="I22" s="19" t="s">
        <v>41</v>
      </c>
      <c r="J22" s="19" t="s">
        <v>43</v>
      </c>
      <c r="K22" s="19" t="s">
        <v>45</v>
      </c>
      <c r="L22" s="19" t="s">
        <v>46</v>
      </c>
      <c r="M22" s="19" t="s">
        <v>47</v>
      </c>
      <c r="N22" s="19" t="s">
        <v>49</v>
      </c>
      <c r="O22" t="s">
        <v>11</v>
      </c>
      <c r="R22" s="20" t="s">
        <v>12</v>
      </c>
      <c r="S22" s="20" t="s">
        <v>13</v>
      </c>
      <c r="T22" s="18" t="s">
        <v>21</v>
      </c>
      <c r="AB22" s="8" t="s">
        <v>11</v>
      </c>
      <c r="AC22">
        <f>SUM(AC19:AC21)</f>
        <v>16</v>
      </c>
      <c r="AD22">
        <f t="shared" ref="AD22:AK22" si="15">SUM(AD19:AD21)</f>
        <v>58</v>
      </c>
      <c r="AE22">
        <f t="shared" si="15"/>
        <v>0</v>
      </c>
      <c r="AF22">
        <f t="shared" si="15"/>
        <v>0</v>
      </c>
      <c r="AG22">
        <f t="shared" si="15"/>
        <v>98</v>
      </c>
      <c r="AH22">
        <f t="shared" si="15"/>
        <v>47</v>
      </c>
      <c r="AI22">
        <f t="shared" si="15"/>
        <v>42</v>
      </c>
      <c r="AJ22">
        <f t="shared" si="15"/>
        <v>0</v>
      </c>
      <c r="AK22">
        <f t="shared" si="15"/>
        <v>44</v>
      </c>
    </row>
    <row r="23" spans="2:40" x14ac:dyDescent="0.3">
      <c r="B23" s="21" t="s">
        <v>52</v>
      </c>
      <c r="C23" s="22">
        <f>157+64+36</f>
        <v>257</v>
      </c>
      <c r="D23" s="22">
        <f>65+32+11</f>
        <v>108</v>
      </c>
      <c r="E23" s="22">
        <v>12</v>
      </c>
      <c r="F23" s="22">
        <v>120</v>
      </c>
      <c r="G23" s="22">
        <v>76</v>
      </c>
      <c r="H23" s="22">
        <v>0</v>
      </c>
      <c r="I23" s="22">
        <v>0</v>
      </c>
      <c r="J23" s="22">
        <v>208</v>
      </c>
      <c r="K23" s="22">
        <v>78</v>
      </c>
      <c r="L23" s="22">
        <v>199</v>
      </c>
      <c r="M23" s="22">
        <v>225</v>
      </c>
      <c r="N23" s="22">
        <v>179</v>
      </c>
      <c r="O23">
        <f>SUM(C23:N23)</f>
        <v>1462</v>
      </c>
      <c r="R23" s="22">
        <v>106</v>
      </c>
      <c r="S23" s="22">
        <v>75</v>
      </c>
      <c r="T23" s="22">
        <v>108</v>
      </c>
    </row>
    <row r="24" spans="2:40" ht="15" customHeight="1" x14ac:dyDescent="0.3">
      <c r="B24" s="23" t="s">
        <v>53</v>
      </c>
      <c r="C24" s="22">
        <f>31+13</f>
        <v>44</v>
      </c>
      <c r="D24" s="22">
        <f>15</f>
        <v>15</v>
      </c>
      <c r="E24" s="22">
        <f>82+15</f>
        <v>97</v>
      </c>
      <c r="F24" s="22">
        <v>128</v>
      </c>
      <c r="G24" s="22">
        <v>109</v>
      </c>
      <c r="H24" s="22">
        <v>51</v>
      </c>
      <c r="I24" s="22">
        <v>0</v>
      </c>
      <c r="J24" s="22">
        <v>22</v>
      </c>
      <c r="K24" s="22">
        <v>108</v>
      </c>
      <c r="L24" s="22">
        <v>146</v>
      </c>
      <c r="M24" s="22">
        <v>102</v>
      </c>
      <c r="N24" s="22">
        <v>171</v>
      </c>
      <c r="O24">
        <f t="shared" ref="O24:O25" si="16">SUM(C24:N24)</f>
        <v>993</v>
      </c>
      <c r="R24" s="22">
        <v>50</v>
      </c>
      <c r="S24" s="22">
        <v>61</v>
      </c>
      <c r="T24" s="22"/>
      <c r="AB24" s="24" t="s">
        <v>54</v>
      </c>
      <c r="AC24" s="25" t="s">
        <v>11</v>
      </c>
    </row>
    <row r="25" spans="2:40" ht="15" customHeight="1" x14ac:dyDescent="0.3">
      <c r="B25" s="26" t="s">
        <v>55</v>
      </c>
      <c r="C25" s="22">
        <v>0</v>
      </c>
      <c r="D25" s="22">
        <v>56</v>
      </c>
      <c r="E25" s="22">
        <v>0</v>
      </c>
      <c r="F25" s="22">
        <v>7</v>
      </c>
      <c r="G25" s="22">
        <v>46</v>
      </c>
      <c r="H25" s="22">
        <v>45</v>
      </c>
      <c r="I25" s="22">
        <v>73</v>
      </c>
      <c r="J25" s="22">
        <v>12</v>
      </c>
      <c r="K25" s="22">
        <v>18</v>
      </c>
      <c r="L25" s="22">
        <v>16</v>
      </c>
      <c r="M25" s="22">
        <v>53</v>
      </c>
      <c r="N25" s="22">
        <v>53</v>
      </c>
      <c r="O25">
        <f t="shared" si="16"/>
        <v>379</v>
      </c>
      <c r="R25" s="22">
        <v>29</v>
      </c>
      <c r="S25" s="22">
        <v>428</v>
      </c>
      <c r="T25" s="22">
        <v>226</v>
      </c>
      <c r="AB25" s="27" t="s">
        <v>7</v>
      </c>
      <c r="AC25">
        <v>589</v>
      </c>
    </row>
    <row r="26" spans="2:40" ht="15" customHeight="1" x14ac:dyDescent="0.3">
      <c r="B26" s="22" t="s">
        <v>11</v>
      </c>
      <c r="C26" s="22">
        <f>SUM(C23:C25)</f>
        <v>301</v>
      </c>
      <c r="D26" s="22">
        <f t="shared" ref="D26:M26" si="17">SUM(D23:D25)</f>
        <v>179</v>
      </c>
      <c r="E26" s="22">
        <f t="shared" si="17"/>
        <v>109</v>
      </c>
      <c r="F26" s="22">
        <f t="shared" si="17"/>
        <v>255</v>
      </c>
      <c r="G26" s="22">
        <f t="shared" si="17"/>
        <v>231</v>
      </c>
      <c r="H26" s="22">
        <f t="shared" si="17"/>
        <v>96</v>
      </c>
      <c r="I26" s="22">
        <f t="shared" si="17"/>
        <v>73</v>
      </c>
      <c r="J26" s="22">
        <f t="shared" si="17"/>
        <v>242</v>
      </c>
      <c r="K26" s="22">
        <f t="shared" si="17"/>
        <v>204</v>
      </c>
      <c r="L26" s="22">
        <f t="shared" si="17"/>
        <v>361</v>
      </c>
      <c r="M26" s="22">
        <f t="shared" si="17"/>
        <v>380</v>
      </c>
      <c r="N26" s="22">
        <f>SUM(N23:N25)</f>
        <v>403</v>
      </c>
      <c r="O26">
        <f>SUM(O23:O25)</f>
        <v>2834</v>
      </c>
      <c r="R26" s="8"/>
      <c r="S26" s="8"/>
      <c r="T26" s="8"/>
      <c r="AB26" s="27" t="s">
        <v>10</v>
      </c>
      <c r="AC26">
        <v>455</v>
      </c>
    </row>
    <row r="27" spans="2:40" ht="15" customHeight="1" x14ac:dyDescent="0.3">
      <c r="AB27" s="27" t="s">
        <v>2</v>
      </c>
      <c r="AC27">
        <v>275</v>
      </c>
    </row>
    <row r="28" spans="2:40" ht="15" customHeight="1" x14ac:dyDescent="0.3">
      <c r="AB28" s="27" t="s">
        <v>3</v>
      </c>
      <c r="AC28">
        <v>85</v>
      </c>
    </row>
    <row r="29" spans="2:40" ht="15" customHeight="1" x14ac:dyDescent="0.3">
      <c r="AB29" s="27" t="s">
        <v>4</v>
      </c>
      <c r="AC29">
        <v>35</v>
      </c>
    </row>
    <row r="30" spans="2:40" ht="15" customHeight="1" x14ac:dyDescent="0.3">
      <c r="AB30" s="27" t="s">
        <v>6</v>
      </c>
      <c r="AC30">
        <v>23</v>
      </c>
    </row>
    <row r="31" spans="2:40" ht="15" customHeight="1" x14ac:dyDescent="0.3">
      <c r="AB31" s="27" t="s">
        <v>5</v>
      </c>
    </row>
    <row r="32" spans="2:40" ht="15" customHeight="1" x14ac:dyDescent="0.3">
      <c r="AB32" s="27" t="s">
        <v>8</v>
      </c>
    </row>
    <row r="33" spans="14:29" ht="15" customHeight="1" x14ac:dyDescent="0.3">
      <c r="AB33" s="27" t="s">
        <v>9</v>
      </c>
    </row>
    <row r="34" spans="14:29" ht="15" customHeight="1" x14ac:dyDescent="0.3">
      <c r="AB34" s="27" t="s">
        <v>56</v>
      </c>
    </row>
    <row r="35" spans="14:29" ht="15" customHeight="1" x14ac:dyDescent="0.3"/>
    <row r="36" spans="14:29" ht="15" customHeight="1" x14ac:dyDescent="0.3"/>
    <row r="37" spans="14:29" x14ac:dyDescent="0.3">
      <c r="N37" s="8"/>
    </row>
    <row r="38" spans="14:29" x14ac:dyDescent="0.3">
      <c r="N38" s="8"/>
    </row>
    <row r="39" spans="14:29" x14ac:dyDescent="0.3">
      <c r="N39" s="8"/>
      <c r="AB39" s="28" t="s">
        <v>54</v>
      </c>
      <c r="AC39" s="29" t="s">
        <v>11</v>
      </c>
    </row>
    <row r="40" spans="14:29" x14ac:dyDescent="0.3">
      <c r="N40" s="8"/>
      <c r="AB40" s="27" t="s">
        <v>6</v>
      </c>
      <c r="AC40">
        <v>82</v>
      </c>
    </row>
    <row r="41" spans="14:29" x14ac:dyDescent="0.3">
      <c r="N41" s="8"/>
      <c r="AB41" s="27" t="s">
        <v>3</v>
      </c>
      <c r="AC41">
        <v>58</v>
      </c>
    </row>
    <row r="42" spans="14:29" x14ac:dyDescent="0.3">
      <c r="N42" s="8"/>
      <c r="AB42" s="27" t="s">
        <v>7</v>
      </c>
      <c r="AC42">
        <v>47</v>
      </c>
    </row>
    <row r="43" spans="14:29" x14ac:dyDescent="0.3">
      <c r="AB43" s="27" t="s">
        <v>10</v>
      </c>
      <c r="AC43">
        <v>44</v>
      </c>
    </row>
    <row r="44" spans="14:29" x14ac:dyDescent="0.3">
      <c r="AB44" s="27" t="s">
        <v>8</v>
      </c>
      <c r="AC44">
        <v>42</v>
      </c>
    </row>
    <row r="45" spans="14:29" x14ac:dyDescent="0.3">
      <c r="AB45" s="27" t="s">
        <v>2</v>
      </c>
      <c r="AC45">
        <v>16</v>
      </c>
    </row>
    <row r="46" spans="14:29" x14ac:dyDescent="0.3">
      <c r="AB46" s="27" t="s">
        <v>4</v>
      </c>
    </row>
    <row r="47" spans="14:29" x14ac:dyDescent="0.3">
      <c r="AB47" s="27" t="s">
        <v>5</v>
      </c>
    </row>
    <row r="48" spans="14:29" x14ac:dyDescent="0.3">
      <c r="AB48" s="27" t="s">
        <v>9</v>
      </c>
    </row>
    <row r="49" spans="2:28" x14ac:dyDescent="0.3">
      <c r="AB49" s="30" t="s">
        <v>56</v>
      </c>
    </row>
    <row r="50" spans="2:28" x14ac:dyDescent="0.3">
      <c r="B50" s="4"/>
      <c r="C50" s="4"/>
      <c r="D50" s="4"/>
      <c r="E50" s="4"/>
      <c r="F50" s="4"/>
      <c r="G50" s="6" t="s">
        <v>27</v>
      </c>
      <c r="H50" s="6" t="s">
        <v>28</v>
      </c>
      <c r="I50" s="6" t="s">
        <v>29</v>
      </c>
      <c r="J50" s="6" t="s">
        <v>30</v>
      </c>
      <c r="K50" s="6" t="s">
        <v>31</v>
      </c>
      <c r="L50" s="6" t="s">
        <v>32</v>
      </c>
      <c r="M50" s="6" t="s">
        <v>33</v>
      </c>
    </row>
    <row r="51" spans="2:28" x14ac:dyDescent="0.3">
      <c r="B51" s="31" t="s">
        <v>22</v>
      </c>
      <c r="C51" s="4"/>
      <c r="D51" s="4"/>
      <c r="E51" s="4"/>
      <c r="F51" s="4"/>
      <c r="G51" s="4"/>
      <c r="H51" s="4"/>
      <c r="I51" s="4"/>
      <c r="J51" s="4" t="s">
        <v>36</v>
      </c>
      <c r="K51" s="4" t="s">
        <v>36</v>
      </c>
      <c r="L51" s="4" t="s">
        <v>36</v>
      </c>
      <c r="M51" s="4" t="s">
        <v>36</v>
      </c>
    </row>
    <row r="52" spans="2:28" x14ac:dyDescent="0.3">
      <c r="B52" s="4" t="s">
        <v>57</v>
      </c>
      <c r="C52" s="4"/>
      <c r="D52" s="4"/>
      <c r="E52" s="4"/>
      <c r="F52" s="4"/>
      <c r="G52" s="4"/>
      <c r="H52" s="4"/>
      <c r="I52" s="4"/>
      <c r="J52" s="4">
        <f>24+43+25+10</f>
        <v>102</v>
      </c>
      <c r="K52" s="4">
        <v>9</v>
      </c>
      <c r="L52" s="4">
        <v>42</v>
      </c>
      <c r="M52" s="4">
        <v>15</v>
      </c>
    </row>
    <row r="53" spans="2:28" x14ac:dyDescent="0.3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2:28" x14ac:dyDescent="0.3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W54" s="32"/>
    </row>
    <row r="55" spans="2:28" x14ac:dyDescent="0.3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W55" s="32"/>
    </row>
    <row r="56" spans="2:28" x14ac:dyDescent="0.3">
      <c r="B56" s="4" t="s">
        <v>44</v>
      </c>
      <c r="C56" s="4"/>
      <c r="D56" s="4"/>
      <c r="E56" s="4"/>
      <c r="F56" s="4"/>
      <c r="G56" s="4"/>
      <c r="H56" s="4"/>
      <c r="I56" s="4"/>
      <c r="J56" s="4">
        <f>SUM(J52:J55)</f>
        <v>102</v>
      </c>
      <c r="K56" s="4">
        <f>SUM(K52:K55)</f>
        <v>9</v>
      </c>
      <c r="L56" s="4">
        <f>SUM(L52:L55)</f>
        <v>42</v>
      </c>
      <c r="M56" s="4">
        <f>SUM(M52:M55)</f>
        <v>15</v>
      </c>
      <c r="W56" s="32"/>
    </row>
    <row r="57" spans="2:28" x14ac:dyDescent="0.3">
      <c r="W57" s="32"/>
    </row>
    <row r="58" spans="2:28" x14ac:dyDescent="0.3">
      <c r="W58" s="32"/>
    </row>
    <row r="59" spans="2:28" x14ac:dyDescent="0.3">
      <c r="W59" s="32"/>
    </row>
  </sheetData>
  <mergeCells count="1">
    <mergeCell ref="AC2:AL2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MINUTOS DE PARO</vt:lpstr>
    </vt:vector>
  </TitlesOfParts>
  <Company>Bosch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Galicia Morales Pedro Javier (TlP/TEF61)</dc:creator>
  <cp:lastModifiedBy>Galicia Morales Pedro Javier (TlP/TEF61)</cp:lastModifiedBy>
  <dcterms:created xsi:type="dcterms:W3CDTF">2026-04-21T18:52:24Z</dcterms:created>
  <dcterms:modified xsi:type="dcterms:W3CDTF">2026-04-21T18:52:51Z</dcterms:modified>
</cp:coreProperties>
</file>